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acem\OneDrive\Desktop\Lexar\rShafer\ZZ UNR\2022 Fall\IS 495\Group Project\"/>
    </mc:Choice>
  </mc:AlternateContent>
  <xr:revisionPtr revIDLastSave="0" documentId="8_{CFBFD786-F2FA-483B-BA8F-7331C28EFF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5" r:id="rId1"/>
    <sheet name="IPO Total by Month" sheetId="29" r:id="rId2"/>
    <sheet name="Work Orders" sheetId="19" r:id="rId3"/>
    <sheet name="NB Summary" sheetId="21" r:id="rId4"/>
    <sheet name="Avg Hrs per WO" sheetId="20" r:id="rId5"/>
    <sheet name="Avg Hrs Chart" sheetId="22" r:id="rId6"/>
    <sheet name="Summary with FTE%" sheetId="27" r:id="rId7"/>
    <sheet name="Summary Chart with FTE%" sheetId="28" r:id="rId8"/>
    <sheet name="Summary wo FTE%" sheetId="25" r:id="rId9"/>
    <sheet name="Summary Chart wo FTE%" sheetId="26" r:id="rId10"/>
  </sheets>
  <definedNames>
    <definedName name="_xlnm._FilterDatabase" localSheetId="0" hidden="1">Data!$A$1:$Y$550</definedName>
    <definedName name="_xlcn.WorksheetConnection_MasterFY19.xlsmTable1" hidden="1">Table1[]</definedName>
  </definedNames>
  <calcPr calcId="191029" calcOnSave="0"/>
  <pivotCaches>
    <pivotCache cacheId="0" r:id="rId11"/>
    <pivotCache cacheId="1" r:id="rId12"/>
    <pivotCache cacheId="2" r:id="rId13"/>
    <pivotCache cacheId="3" r:id="rId14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MasterFY19.xlsm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9" i="15" l="1"/>
  <c r="E489" i="15"/>
  <c r="W489" i="15" s="1"/>
  <c r="G489" i="15"/>
  <c r="J489" i="15"/>
  <c r="Q489" i="15"/>
  <c r="X489" i="15" s="1"/>
  <c r="T489" i="15"/>
  <c r="U489" i="15"/>
  <c r="Y489" i="15"/>
  <c r="V489" i="15" l="1"/>
  <c r="B541" i="15"/>
  <c r="E541" i="15"/>
  <c r="G541" i="15"/>
  <c r="J541" i="15"/>
  <c r="Q541" i="15"/>
  <c r="T541" i="15"/>
  <c r="U541" i="15"/>
  <c r="X541" i="15"/>
  <c r="Y541" i="15"/>
  <c r="B540" i="15"/>
  <c r="E540" i="15"/>
  <c r="G540" i="15"/>
  <c r="J540" i="15"/>
  <c r="Q540" i="15"/>
  <c r="T540" i="15"/>
  <c r="U540" i="15"/>
  <c r="V540" i="15" s="1"/>
  <c r="X540" i="15"/>
  <c r="Y540" i="15"/>
  <c r="W540" i="15" l="1"/>
  <c r="V541" i="15"/>
  <c r="W541" i="15" s="1"/>
  <c r="B539" i="15"/>
  <c r="E539" i="15"/>
  <c r="G539" i="15"/>
  <c r="J539" i="15"/>
  <c r="Q539" i="15"/>
  <c r="X539" i="15" s="1"/>
  <c r="T539" i="15"/>
  <c r="U539" i="15"/>
  <c r="Y539" i="15"/>
  <c r="B538" i="15"/>
  <c r="E538" i="15"/>
  <c r="G538" i="15"/>
  <c r="J538" i="15"/>
  <c r="Q538" i="15"/>
  <c r="X538" i="15" s="1"/>
  <c r="T538" i="15"/>
  <c r="U538" i="15"/>
  <c r="Y538" i="15"/>
  <c r="B537" i="15"/>
  <c r="E537" i="15"/>
  <c r="G537" i="15"/>
  <c r="J537" i="15"/>
  <c r="Q537" i="15"/>
  <c r="X537" i="15" s="1"/>
  <c r="T537" i="15"/>
  <c r="U537" i="15"/>
  <c r="Y537" i="15"/>
  <c r="B536" i="15"/>
  <c r="E536" i="15"/>
  <c r="G536" i="15"/>
  <c r="J536" i="15"/>
  <c r="Q536" i="15"/>
  <c r="X536" i="15" s="1"/>
  <c r="T536" i="15"/>
  <c r="U536" i="15"/>
  <c r="Y536" i="15"/>
  <c r="B535" i="15"/>
  <c r="E535" i="15"/>
  <c r="G535" i="15"/>
  <c r="J535" i="15"/>
  <c r="Q535" i="15"/>
  <c r="X535" i="15" s="1"/>
  <c r="T535" i="15"/>
  <c r="U535" i="15"/>
  <c r="Y535" i="15"/>
  <c r="B534" i="15"/>
  <c r="E534" i="15"/>
  <c r="G534" i="15"/>
  <c r="J534" i="15"/>
  <c r="Q534" i="15"/>
  <c r="X534" i="15" s="1"/>
  <c r="T534" i="15"/>
  <c r="U534" i="15"/>
  <c r="Y534" i="15"/>
  <c r="V539" i="15" l="1"/>
  <c r="W539" i="15"/>
  <c r="W534" i="15"/>
  <c r="W535" i="15"/>
  <c r="W537" i="15"/>
  <c r="W538" i="15"/>
  <c r="V535" i="15"/>
  <c r="V538" i="15"/>
  <c r="W536" i="15"/>
  <c r="V537" i="15"/>
  <c r="V536" i="15"/>
  <c r="V534" i="15"/>
  <c r="B211" i="15"/>
  <c r="E211" i="15"/>
  <c r="G211" i="15"/>
  <c r="J211" i="15"/>
  <c r="Q211" i="15"/>
  <c r="X211" i="15" s="1"/>
  <c r="T211" i="15"/>
  <c r="U211" i="15"/>
  <c r="Y211" i="15"/>
  <c r="W211" i="15" l="1"/>
  <c r="V211" i="15"/>
  <c r="B532" i="15"/>
  <c r="E532" i="15"/>
  <c r="G532" i="15"/>
  <c r="J532" i="15"/>
  <c r="Q532" i="15"/>
  <c r="X532" i="15" s="1"/>
  <c r="T532" i="15"/>
  <c r="U532" i="15"/>
  <c r="Y532" i="15"/>
  <c r="V532" i="15" l="1"/>
  <c r="W532" i="15"/>
  <c r="B507" i="15"/>
  <c r="E507" i="15"/>
  <c r="G507" i="15"/>
  <c r="J507" i="15"/>
  <c r="Q507" i="15"/>
  <c r="X507" i="15" s="1"/>
  <c r="T507" i="15"/>
  <c r="U507" i="15"/>
  <c r="Y507" i="15"/>
  <c r="B473" i="15"/>
  <c r="E473" i="15"/>
  <c r="G473" i="15"/>
  <c r="J473" i="15"/>
  <c r="Q473" i="15"/>
  <c r="X473" i="15" s="1"/>
  <c r="T473" i="15"/>
  <c r="U473" i="15"/>
  <c r="Y473" i="15"/>
  <c r="B470" i="15"/>
  <c r="E470" i="15"/>
  <c r="G470" i="15"/>
  <c r="J470" i="15"/>
  <c r="Q470" i="15"/>
  <c r="X470" i="15" s="1"/>
  <c r="T470" i="15"/>
  <c r="U470" i="15"/>
  <c r="Y470" i="15"/>
  <c r="B469" i="15"/>
  <c r="E469" i="15"/>
  <c r="G469" i="15"/>
  <c r="J469" i="15"/>
  <c r="Q469" i="15"/>
  <c r="X469" i="15" s="1"/>
  <c r="T469" i="15"/>
  <c r="U469" i="15"/>
  <c r="Y469" i="15"/>
  <c r="B468" i="15"/>
  <c r="E468" i="15"/>
  <c r="G468" i="15"/>
  <c r="J468" i="15"/>
  <c r="Q468" i="15"/>
  <c r="X468" i="15" s="1"/>
  <c r="T468" i="15"/>
  <c r="U468" i="15"/>
  <c r="Y468" i="15"/>
  <c r="B465" i="15"/>
  <c r="E465" i="15"/>
  <c r="G465" i="15"/>
  <c r="J465" i="15"/>
  <c r="Q465" i="15"/>
  <c r="X465" i="15" s="1"/>
  <c r="T465" i="15"/>
  <c r="U465" i="15"/>
  <c r="Y465" i="15"/>
  <c r="W507" i="15" l="1"/>
  <c r="W468" i="15"/>
  <c r="W469" i="15"/>
  <c r="W470" i="15"/>
  <c r="V473" i="15"/>
  <c r="W473" i="15"/>
  <c r="V507" i="15"/>
  <c r="V469" i="15"/>
  <c r="V470" i="15"/>
  <c r="V468" i="15"/>
  <c r="W465" i="15"/>
  <c r="V465" i="15"/>
  <c r="B175" i="15"/>
  <c r="E175" i="15"/>
  <c r="G175" i="15"/>
  <c r="J175" i="15"/>
  <c r="Q175" i="15"/>
  <c r="T175" i="15"/>
  <c r="U175" i="15"/>
  <c r="X175" i="15"/>
  <c r="Y175" i="15"/>
  <c r="V175" i="15" l="1"/>
  <c r="W175" i="15" s="1"/>
  <c r="B155" i="15"/>
  <c r="E155" i="15"/>
  <c r="G155" i="15"/>
  <c r="J155" i="15"/>
  <c r="Q155" i="15"/>
  <c r="T155" i="15"/>
  <c r="U155" i="15"/>
  <c r="X155" i="15"/>
  <c r="Y155" i="15"/>
  <c r="V155" i="15" l="1"/>
  <c r="W155" i="15"/>
  <c r="B510" i="15" l="1"/>
  <c r="E510" i="15"/>
  <c r="G510" i="15"/>
  <c r="J510" i="15"/>
  <c r="Q510" i="15"/>
  <c r="T510" i="15"/>
  <c r="U510" i="15"/>
  <c r="Y510" i="15"/>
  <c r="B166" i="15"/>
  <c r="E166" i="15"/>
  <c r="G166" i="15"/>
  <c r="J166" i="15"/>
  <c r="Q166" i="15"/>
  <c r="T166" i="15"/>
  <c r="U166" i="15"/>
  <c r="X166" i="15"/>
  <c r="Y166" i="15"/>
  <c r="B165" i="15"/>
  <c r="E165" i="15"/>
  <c r="G165" i="15"/>
  <c r="J165" i="15"/>
  <c r="Q165" i="15"/>
  <c r="T165" i="15"/>
  <c r="U165" i="15"/>
  <c r="X165" i="15"/>
  <c r="Y165" i="15"/>
  <c r="B168" i="15"/>
  <c r="E168" i="15"/>
  <c r="G168" i="15"/>
  <c r="J168" i="15"/>
  <c r="Q168" i="15"/>
  <c r="T168" i="15"/>
  <c r="U168" i="15"/>
  <c r="X168" i="15"/>
  <c r="Y168" i="15"/>
  <c r="B167" i="15"/>
  <c r="E167" i="15"/>
  <c r="G167" i="15"/>
  <c r="J167" i="15"/>
  <c r="Q167" i="15"/>
  <c r="T167" i="15"/>
  <c r="U167" i="15"/>
  <c r="X167" i="15"/>
  <c r="Y167" i="15"/>
  <c r="W510" i="15" l="1"/>
  <c r="X510" i="15"/>
  <c r="V510" i="15"/>
  <c r="V166" i="15"/>
  <c r="W166" i="15" s="1"/>
  <c r="V165" i="15"/>
  <c r="W165" i="15" s="1"/>
  <c r="V168" i="15"/>
  <c r="W168" i="15" s="1"/>
  <c r="V167" i="15"/>
  <c r="W167" i="15" s="1"/>
  <c r="B262" i="15" l="1"/>
  <c r="E262" i="15"/>
  <c r="G262" i="15"/>
  <c r="J262" i="15"/>
  <c r="Q262" i="15"/>
  <c r="T262" i="15"/>
  <c r="U262" i="15"/>
  <c r="Y262" i="15"/>
  <c r="X262" i="15" l="1"/>
  <c r="W262" i="15"/>
  <c r="V262" i="15"/>
  <c r="B522" i="15"/>
  <c r="E522" i="15"/>
  <c r="G522" i="15"/>
  <c r="J522" i="15"/>
  <c r="Q522" i="15"/>
  <c r="T522" i="15"/>
  <c r="U522" i="15"/>
  <c r="Y522" i="15"/>
  <c r="B521" i="15"/>
  <c r="E521" i="15"/>
  <c r="G521" i="15"/>
  <c r="J521" i="15"/>
  <c r="Q521" i="15"/>
  <c r="T521" i="15"/>
  <c r="U521" i="15"/>
  <c r="Y521" i="15"/>
  <c r="X521" i="15" l="1"/>
  <c r="V522" i="15"/>
  <c r="X522" i="15"/>
  <c r="W522" i="15"/>
  <c r="V521" i="15"/>
  <c r="W521" i="15"/>
  <c r="B474" i="15"/>
  <c r="E474" i="15"/>
  <c r="G474" i="15"/>
  <c r="J474" i="15"/>
  <c r="Q474" i="15"/>
  <c r="X474" i="15" s="1"/>
  <c r="T474" i="15"/>
  <c r="U474" i="15"/>
  <c r="Y474" i="15"/>
  <c r="W474" i="15" l="1"/>
  <c r="V474" i="15"/>
  <c r="B257" i="15"/>
  <c r="E257" i="15"/>
  <c r="G257" i="15"/>
  <c r="J257" i="15"/>
  <c r="Q257" i="15"/>
  <c r="T257" i="15"/>
  <c r="U257" i="15"/>
  <c r="Y257" i="15"/>
  <c r="B256" i="15"/>
  <c r="E256" i="15"/>
  <c r="G256" i="15"/>
  <c r="J256" i="15"/>
  <c r="Q256" i="15"/>
  <c r="T256" i="15"/>
  <c r="U256" i="15"/>
  <c r="Y256" i="15"/>
  <c r="X256" i="15" l="1"/>
  <c r="X257" i="15"/>
  <c r="V256" i="15"/>
  <c r="W256" i="15"/>
  <c r="W257" i="15"/>
  <c r="V257" i="15"/>
  <c r="B203" i="15"/>
  <c r="E203" i="15"/>
  <c r="G203" i="15"/>
  <c r="J203" i="15"/>
  <c r="Q203" i="15"/>
  <c r="X203" i="15" s="1"/>
  <c r="T203" i="15"/>
  <c r="U203" i="15"/>
  <c r="Y203" i="15"/>
  <c r="B202" i="15"/>
  <c r="E202" i="15"/>
  <c r="G202" i="15"/>
  <c r="J202" i="15"/>
  <c r="Q202" i="15"/>
  <c r="X202" i="15" s="1"/>
  <c r="T202" i="15"/>
  <c r="U202" i="15"/>
  <c r="Y202" i="15"/>
  <c r="W203" i="15" l="1"/>
  <c r="W202" i="15"/>
  <c r="V202" i="15"/>
  <c r="V203" i="15"/>
  <c r="B212" i="15"/>
  <c r="E212" i="15"/>
  <c r="G212" i="15"/>
  <c r="J212" i="15"/>
  <c r="Q212" i="15"/>
  <c r="X212" i="15" s="1"/>
  <c r="T212" i="15"/>
  <c r="U212" i="15"/>
  <c r="Y212" i="15"/>
  <c r="W212" i="15" l="1"/>
  <c r="V212" i="15"/>
  <c r="B214" i="15"/>
  <c r="E214" i="15"/>
  <c r="G214" i="15"/>
  <c r="J214" i="15"/>
  <c r="Q214" i="15"/>
  <c r="X214" i="15" s="1"/>
  <c r="T214" i="15"/>
  <c r="U214" i="15"/>
  <c r="Y214" i="15"/>
  <c r="W214" i="15" l="1"/>
  <c r="V214" i="15"/>
  <c r="B511" i="15"/>
  <c r="E511" i="15"/>
  <c r="G511" i="15"/>
  <c r="J511" i="15"/>
  <c r="Q511" i="15"/>
  <c r="T511" i="15"/>
  <c r="U511" i="15"/>
  <c r="Y511" i="15"/>
  <c r="B509" i="15"/>
  <c r="E509" i="15"/>
  <c r="G509" i="15"/>
  <c r="J509" i="15"/>
  <c r="Q509" i="15"/>
  <c r="T509" i="15"/>
  <c r="U509" i="15"/>
  <c r="Y509" i="15"/>
  <c r="B467" i="15"/>
  <c r="E467" i="15"/>
  <c r="G467" i="15"/>
  <c r="J467" i="15"/>
  <c r="Q467" i="15"/>
  <c r="X467" i="15" s="1"/>
  <c r="T467" i="15"/>
  <c r="U467" i="15"/>
  <c r="Y467" i="15"/>
  <c r="B462" i="15"/>
  <c r="E462" i="15"/>
  <c r="G462" i="15"/>
  <c r="J462" i="15"/>
  <c r="Q462" i="15"/>
  <c r="T462" i="15"/>
  <c r="U462" i="15"/>
  <c r="Y462" i="15"/>
  <c r="B458" i="15"/>
  <c r="E458" i="15"/>
  <c r="G458" i="15"/>
  <c r="J458" i="15"/>
  <c r="Q458" i="15"/>
  <c r="X458" i="15" s="1"/>
  <c r="T458" i="15"/>
  <c r="U458" i="15"/>
  <c r="Y458" i="15"/>
  <c r="B475" i="15"/>
  <c r="E475" i="15"/>
  <c r="G475" i="15"/>
  <c r="J475" i="15"/>
  <c r="Q475" i="15"/>
  <c r="T475" i="15"/>
  <c r="U475" i="15"/>
  <c r="Y475" i="15"/>
  <c r="B472" i="15"/>
  <c r="E472" i="15"/>
  <c r="G472" i="15"/>
  <c r="J472" i="15"/>
  <c r="Q472" i="15"/>
  <c r="X472" i="15" s="1"/>
  <c r="T472" i="15"/>
  <c r="U472" i="15"/>
  <c r="Y472" i="15"/>
  <c r="B471" i="15"/>
  <c r="E471" i="15"/>
  <c r="G471" i="15"/>
  <c r="J471" i="15"/>
  <c r="Q471" i="15"/>
  <c r="T471" i="15"/>
  <c r="U471" i="15"/>
  <c r="Y471" i="15"/>
  <c r="B466" i="15"/>
  <c r="E466" i="15"/>
  <c r="G466" i="15"/>
  <c r="J466" i="15"/>
  <c r="Q466" i="15"/>
  <c r="T466" i="15"/>
  <c r="U466" i="15"/>
  <c r="Y466" i="15"/>
  <c r="B457" i="15"/>
  <c r="E457" i="15"/>
  <c r="G457" i="15"/>
  <c r="J457" i="15"/>
  <c r="Q457" i="15"/>
  <c r="T457" i="15"/>
  <c r="U457" i="15"/>
  <c r="Y457" i="15"/>
  <c r="X457" i="15" l="1"/>
  <c r="X471" i="15"/>
  <c r="X475" i="15"/>
  <c r="X462" i="15"/>
  <c r="X509" i="15"/>
  <c r="X511" i="15"/>
  <c r="X466" i="15"/>
  <c r="W511" i="15"/>
  <c r="W467" i="15"/>
  <c r="W509" i="15"/>
  <c r="V467" i="15"/>
  <c r="V511" i="15"/>
  <c r="V509" i="15"/>
  <c r="W466" i="15"/>
  <c r="W472" i="15"/>
  <c r="W462" i="15"/>
  <c r="W475" i="15"/>
  <c r="W458" i="15"/>
  <c r="V458" i="15"/>
  <c r="V462" i="15"/>
  <c r="V475" i="15"/>
  <c r="W471" i="15"/>
  <c r="V472" i="15"/>
  <c r="V466" i="15"/>
  <c r="V471" i="15"/>
  <c r="W457" i="15"/>
  <c r="V457" i="15"/>
  <c r="B296" i="15"/>
  <c r="E296" i="15"/>
  <c r="G296" i="15"/>
  <c r="J296" i="15"/>
  <c r="Q296" i="15"/>
  <c r="T296" i="15"/>
  <c r="U296" i="15"/>
  <c r="Y296" i="15"/>
  <c r="B295" i="15"/>
  <c r="E295" i="15"/>
  <c r="G295" i="15"/>
  <c r="J295" i="15"/>
  <c r="Q295" i="15"/>
  <c r="T295" i="15"/>
  <c r="U295" i="15"/>
  <c r="Y295" i="15"/>
  <c r="X295" i="15" l="1"/>
  <c r="X296" i="15"/>
  <c r="W296" i="15"/>
  <c r="W295" i="15"/>
  <c r="V296" i="15"/>
  <c r="V295" i="15"/>
  <c r="B500" i="15"/>
  <c r="E500" i="15"/>
  <c r="G500" i="15"/>
  <c r="J500" i="15"/>
  <c r="Q500" i="15"/>
  <c r="T500" i="15"/>
  <c r="U500" i="15"/>
  <c r="Y500" i="15"/>
  <c r="B499" i="15"/>
  <c r="E499" i="15"/>
  <c r="G499" i="15"/>
  <c r="J499" i="15"/>
  <c r="Q499" i="15"/>
  <c r="T499" i="15"/>
  <c r="U499" i="15"/>
  <c r="Y499" i="15"/>
  <c r="B498" i="15"/>
  <c r="E498" i="15"/>
  <c r="G498" i="15"/>
  <c r="J498" i="15"/>
  <c r="Q498" i="15"/>
  <c r="T498" i="15"/>
  <c r="U498" i="15"/>
  <c r="Y498" i="15"/>
  <c r="B497" i="15"/>
  <c r="E497" i="15"/>
  <c r="G497" i="15"/>
  <c r="J497" i="15"/>
  <c r="Q497" i="15"/>
  <c r="T497" i="15"/>
  <c r="U497" i="15"/>
  <c r="Y497" i="15"/>
  <c r="X497" i="15" l="1"/>
  <c r="X498" i="15"/>
  <c r="X499" i="15"/>
  <c r="X500" i="15"/>
  <c r="W500" i="15"/>
  <c r="W499" i="15"/>
  <c r="W498" i="15"/>
  <c r="V499" i="15"/>
  <c r="V500" i="15"/>
  <c r="W497" i="15"/>
  <c r="V498" i="15"/>
  <c r="V497" i="15"/>
  <c r="B263" i="15"/>
  <c r="E263" i="15"/>
  <c r="G263" i="15"/>
  <c r="J263" i="15"/>
  <c r="Q263" i="15"/>
  <c r="T263" i="15"/>
  <c r="U263" i="15"/>
  <c r="Y263" i="15"/>
  <c r="X263" i="15" l="1"/>
  <c r="W263" i="15"/>
  <c r="V263" i="15"/>
  <c r="B515" i="15"/>
  <c r="E515" i="15"/>
  <c r="G515" i="15"/>
  <c r="J515" i="15"/>
  <c r="Q515" i="15"/>
  <c r="T515" i="15"/>
  <c r="U515" i="15"/>
  <c r="Y515" i="15"/>
  <c r="B514" i="15"/>
  <c r="E514" i="15"/>
  <c r="G514" i="15"/>
  <c r="J514" i="15"/>
  <c r="Q514" i="15"/>
  <c r="T514" i="15"/>
  <c r="U514" i="15"/>
  <c r="Y514" i="15"/>
  <c r="B513" i="15"/>
  <c r="E513" i="15"/>
  <c r="G513" i="15"/>
  <c r="J513" i="15"/>
  <c r="Q513" i="15"/>
  <c r="T513" i="15"/>
  <c r="U513" i="15"/>
  <c r="Y513" i="15"/>
  <c r="B512" i="15"/>
  <c r="E512" i="15"/>
  <c r="G512" i="15"/>
  <c r="J512" i="15"/>
  <c r="Q512" i="15"/>
  <c r="T512" i="15"/>
  <c r="U512" i="15"/>
  <c r="Y512" i="15"/>
  <c r="X513" i="15" l="1"/>
  <c r="X512" i="15"/>
  <c r="X514" i="15"/>
  <c r="X515" i="15"/>
  <c r="W514" i="15"/>
  <c r="W512" i="15"/>
  <c r="W515" i="15"/>
  <c r="V515" i="15"/>
  <c r="W513" i="15"/>
  <c r="V514" i="15"/>
  <c r="V513" i="15"/>
  <c r="V512" i="15"/>
  <c r="B265" i="15"/>
  <c r="E265" i="15"/>
  <c r="G265" i="15"/>
  <c r="J265" i="15"/>
  <c r="Q265" i="15"/>
  <c r="T265" i="15"/>
  <c r="U265" i="15"/>
  <c r="Y265" i="15"/>
  <c r="B264" i="15"/>
  <c r="E264" i="15"/>
  <c r="G264" i="15"/>
  <c r="J264" i="15"/>
  <c r="Q264" i="15"/>
  <c r="T264" i="15"/>
  <c r="U264" i="15"/>
  <c r="Y264" i="15"/>
  <c r="X264" i="15" l="1"/>
  <c r="X265" i="15"/>
  <c r="W265" i="15"/>
  <c r="V264" i="15"/>
  <c r="W264" i="15"/>
  <c r="V265" i="15"/>
  <c r="B254" i="15"/>
  <c r="E254" i="15"/>
  <c r="G254" i="15"/>
  <c r="J254" i="15"/>
  <c r="Q254" i="15"/>
  <c r="T254" i="15"/>
  <c r="U254" i="15"/>
  <c r="Y254" i="15"/>
  <c r="B253" i="15"/>
  <c r="E253" i="15"/>
  <c r="G253" i="15"/>
  <c r="J253" i="15"/>
  <c r="Q253" i="15"/>
  <c r="T253" i="15"/>
  <c r="U253" i="15"/>
  <c r="Y253" i="15"/>
  <c r="X253" i="15" l="1"/>
  <c r="X254" i="15"/>
  <c r="W254" i="15"/>
  <c r="V254" i="15"/>
  <c r="V253" i="15"/>
  <c r="W253" i="15"/>
  <c r="B517" i="15"/>
  <c r="E517" i="15"/>
  <c r="G517" i="15"/>
  <c r="J517" i="15"/>
  <c r="Q517" i="15"/>
  <c r="T517" i="15"/>
  <c r="U517" i="15"/>
  <c r="Y517" i="15"/>
  <c r="W517" i="15" l="1"/>
  <c r="V517" i="15"/>
  <c r="X517" i="15"/>
  <c r="B506" i="15"/>
  <c r="E506" i="15"/>
  <c r="G506" i="15"/>
  <c r="J506" i="15"/>
  <c r="Q506" i="15"/>
  <c r="X506" i="15" s="1"/>
  <c r="T506" i="15"/>
  <c r="U506" i="15"/>
  <c r="Y506" i="15"/>
  <c r="B508" i="15"/>
  <c r="E508" i="15"/>
  <c r="G508" i="15"/>
  <c r="J508" i="15"/>
  <c r="Q508" i="15"/>
  <c r="T508" i="15"/>
  <c r="U508" i="15"/>
  <c r="Y508" i="15"/>
  <c r="B464" i="15"/>
  <c r="E464" i="15"/>
  <c r="G464" i="15"/>
  <c r="J464" i="15"/>
  <c r="Q464" i="15"/>
  <c r="X464" i="15" s="1"/>
  <c r="T464" i="15"/>
  <c r="U464" i="15"/>
  <c r="Y464" i="15"/>
  <c r="B461" i="15"/>
  <c r="E461" i="15"/>
  <c r="G461" i="15"/>
  <c r="J461" i="15"/>
  <c r="Q461" i="15"/>
  <c r="T461" i="15"/>
  <c r="U461" i="15"/>
  <c r="Y461" i="15"/>
  <c r="B456" i="15"/>
  <c r="E456" i="15"/>
  <c r="G456" i="15"/>
  <c r="J456" i="15"/>
  <c r="Q456" i="15"/>
  <c r="T456" i="15"/>
  <c r="U456" i="15"/>
  <c r="Y456" i="15"/>
  <c r="B452" i="15"/>
  <c r="E452" i="15"/>
  <c r="G452" i="15"/>
  <c r="J452" i="15"/>
  <c r="Q452" i="15"/>
  <c r="T452" i="15"/>
  <c r="U452" i="15"/>
  <c r="Y452" i="15"/>
  <c r="B449" i="15"/>
  <c r="E449" i="15"/>
  <c r="G449" i="15"/>
  <c r="J449" i="15"/>
  <c r="Q449" i="15"/>
  <c r="T449" i="15"/>
  <c r="U449" i="15"/>
  <c r="Y449" i="15"/>
  <c r="X449" i="15" l="1"/>
  <c r="X452" i="15"/>
  <c r="X456" i="15"/>
  <c r="X461" i="15"/>
  <c r="X508" i="15"/>
  <c r="W506" i="15"/>
  <c r="W508" i="15"/>
  <c r="V506" i="15"/>
  <c r="V464" i="15"/>
  <c r="W449" i="15"/>
  <c r="W452" i="15"/>
  <c r="W461" i="15"/>
  <c r="W464" i="15"/>
  <c r="V508" i="15"/>
  <c r="V456" i="15"/>
  <c r="W456" i="15"/>
  <c r="V452" i="15"/>
  <c r="V461" i="15"/>
  <c r="V449" i="15"/>
  <c r="B215" i="15"/>
  <c r="E215" i="15"/>
  <c r="G215" i="15"/>
  <c r="J215" i="15"/>
  <c r="Q215" i="15"/>
  <c r="X215" i="15" s="1"/>
  <c r="T215" i="15"/>
  <c r="U215" i="15"/>
  <c r="Y215" i="15"/>
  <c r="W215" i="15" l="1"/>
  <c r="V215" i="15"/>
  <c r="B213" i="15"/>
  <c r="E213" i="15"/>
  <c r="G213" i="15"/>
  <c r="J213" i="15"/>
  <c r="Q213" i="15"/>
  <c r="X213" i="15" s="1"/>
  <c r="T213" i="15"/>
  <c r="U213" i="15"/>
  <c r="Y213" i="15"/>
  <c r="V213" i="15" l="1"/>
  <c r="W213" i="15"/>
  <c r="B205" i="15"/>
  <c r="E205" i="15"/>
  <c r="G205" i="15"/>
  <c r="J205" i="15"/>
  <c r="Q205" i="15"/>
  <c r="X205" i="15" s="1"/>
  <c r="T205" i="15"/>
  <c r="U205" i="15"/>
  <c r="Y205" i="15"/>
  <c r="B204" i="15"/>
  <c r="E204" i="15"/>
  <c r="G204" i="15"/>
  <c r="J204" i="15"/>
  <c r="Q204" i="15"/>
  <c r="X204" i="15" s="1"/>
  <c r="T204" i="15"/>
  <c r="U204" i="15"/>
  <c r="Y204" i="15"/>
  <c r="W204" i="15" l="1"/>
  <c r="W205" i="15"/>
  <c r="V205" i="15"/>
  <c r="V204" i="15"/>
  <c r="B210" i="15"/>
  <c r="E210" i="15"/>
  <c r="G210" i="15"/>
  <c r="J210" i="15"/>
  <c r="Q210" i="15"/>
  <c r="X210" i="15" s="1"/>
  <c r="T210" i="15"/>
  <c r="U210" i="15"/>
  <c r="Y210" i="15"/>
  <c r="B209" i="15"/>
  <c r="E209" i="15"/>
  <c r="G209" i="15"/>
  <c r="J209" i="15"/>
  <c r="Q209" i="15"/>
  <c r="X209" i="15" s="1"/>
  <c r="T209" i="15"/>
  <c r="U209" i="15"/>
  <c r="Y209" i="15"/>
  <c r="B208" i="15"/>
  <c r="E208" i="15"/>
  <c r="G208" i="15"/>
  <c r="J208" i="15"/>
  <c r="Q208" i="15"/>
  <c r="T208" i="15"/>
  <c r="U208" i="15"/>
  <c r="Y208" i="15"/>
  <c r="W209" i="15" l="1"/>
  <c r="V209" i="15"/>
  <c r="W210" i="15"/>
  <c r="V208" i="15"/>
  <c r="V210" i="15"/>
  <c r="W208" i="15"/>
  <c r="X208" i="15"/>
  <c r="B201" i="15"/>
  <c r="E201" i="15"/>
  <c r="G201" i="15"/>
  <c r="J201" i="15"/>
  <c r="Q201" i="15"/>
  <c r="X201" i="15" s="1"/>
  <c r="T201" i="15"/>
  <c r="U201" i="15"/>
  <c r="Y201" i="15"/>
  <c r="B200" i="15"/>
  <c r="E200" i="15"/>
  <c r="G200" i="15"/>
  <c r="J200" i="15"/>
  <c r="Q200" i="15"/>
  <c r="X200" i="15" s="1"/>
  <c r="T200" i="15"/>
  <c r="U200" i="15"/>
  <c r="Y200" i="15"/>
  <c r="B199" i="15"/>
  <c r="E199" i="15"/>
  <c r="G199" i="15"/>
  <c r="J199" i="15"/>
  <c r="Q199" i="15"/>
  <c r="X199" i="15" s="1"/>
  <c r="T199" i="15"/>
  <c r="U199" i="15"/>
  <c r="Y199" i="15"/>
  <c r="W199" i="15" l="1"/>
  <c r="W200" i="15"/>
  <c r="W201" i="15"/>
  <c r="V200" i="15"/>
  <c r="V201" i="15"/>
  <c r="V199" i="15"/>
  <c r="B255" i="15"/>
  <c r="E255" i="15"/>
  <c r="G255" i="15"/>
  <c r="J255" i="15"/>
  <c r="Q255" i="15"/>
  <c r="T255" i="15"/>
  <c r="U255" i="15"/>
  <c r="Y255" i="15"/>
  <c r="X255" i="15" l="1"/>
  <c r="V255" i="15"/>
  <c r="W255" i="15"/>
  <c r="B496" i="15"/>
  <c r="E496" i="15"/>
  <c r="G496" i="15"/>
  <c r="J496" i="15"/>
  <c r="Q496" i="15"/>
  <c r="T496" i="15"/>
  <c r="U496" i="15"/>
  <c r="Y496" i="15"/>
  <c r="X496" i="15" l="1"/>
  <c r="V496" i="15"/>
  <c r="W496" i="15"/>
  <c r="B520" i="15"/>
  <c r="E520" i="15"/>
  <c r="G520" i="15"/>
  <c r="J520" i="15"/>
  <c r="Q520" i="15"/>
  <c r="T520" i="15"/>
  <c r="U520" i="15"/>
  <c r="Y520" i="15"/>
  <c r="B519" i="15"/>
  <c r="E519" i="15"/>
  <c r="G519" i="15"/>
  <c r="J519" i="15"/>
  <c r="Q519" i="15"/>
  <c r="T519" i="15"/>
  <c r="U519" i="15"/>
  <c r="Y519" i="15"/>
  <c r="B518" i="15"/>
  <c r="E518" i="15"/>
  <c r="G518" i="15"/>
  <c r="J518" i="15"/>
  <c r="Q518" i="15"/>
  <c r="T518" i="15"/>
  <c r="U518" i="15"/>
  <c r="Y518" i="15"/>
  <c r="X519" i="15" l="1"/>
  <c r="X520" i="15"/>
  <c r="W520" i="15"/>
  <c r="W518" i="15"/>
  <c r="W519" i="15"/>
  <c r="V520" i="15"/>
  <c r="V519" i="15"/>
  <c r="V518" i="15"/>
  <c r="X518" i="15"/>
  <c r="B531" i="15"/>
  <c r="E531" i="15"/>
  <c r="G531" i="15"/>
  <c r="J531" i="15"/>
  <c r="Q531" i="15"/>
  <c r="X531" i="15" s="1"/>
  <c r="T531" i="15"/>
  <c r="U531" i="15"/>
  <c r="Y531" i="15"/>
  <c r="W531" i="15" l="1"/>
  <c r="V531" i="15"/>
  <c r="B463" i="15"/>
  <c r="E463" i="15"/>
  <c r="G463" i="15"/>
  <c r="J463" i="15"/>
  <c r="Q463" i="15"/>
  <c r="X463" i="15" s="1"/>
  <c r="T463" i="15"/>
  <c r="U463" i="15"/>
  <c r="Y463" i="15"/>
  <c r="B460" i="15"/>
  <c r="E460" i="15"/>
  <c r="G460" i="15"/>
  <c r="J460" i="15"/>
  <c r="Q460" i="15"/>
  <c r="X460" i="15" s="1"/>
  <c r="T460" i="15"/>
  <c r="U460" i="15"/>
  <c r="Y460" i="15"/>
  <c r="B459" i="15"/>
  <c r="E459" i="15"/>
  <c r="G459" i="15"/>
  <c r="J459" i="15"/>
  <c r="Q459" i="15"/>
  <c r="X459" i="15" s="1"/>
  <c r="T459" i="15"/>
  <c r="U459" i="15"/>
  <c r="Y459" i="15"/>
  <c r="W463" i="15" l="1"/>
  <c r="V460" i="15"/>
  <c r="W459" i="15"/>
  <c r="W460" i="15"/>
  <c r="V463" i="15"/>
  <c r="V459" i="15"/>
  <c r="B455" i="15"/>
  <c r="E455" i="15"/>
  <c r="G455" i="15"/>
  <c r="J455" i="15"/>
  <c r="Q455" i="15"/>
  <c r="T455" i="15"/>
  <c r="U455" i="15"/>
  <c r="Y455" i="15"/>
  <c r="B454" i="15"/>
  <c r="E454" i="15"/>
  <c r="G454" i="15"/>
  <c r="J454" i="15"/>
  <c r="Q454" i="15"/>
  <c r="X454" i="15" s="1"/>
  <c r="T454" i="15"/>
  <c r="U454" i="15"/>
  <c r="Y454" i="15"/>
  <c r="B451" i="15"/>
  <c r="E451" i="15"/>
  <c r="G451" i="15"/>
  <c r="J451" i="15"/>
  <c r="Q451" i="15"/>
  <c r="X451" i="15" s="1"/>
  <c r="T451" i="15"/>
  <c r="U451" i="15"/>
  <c r="Y451" i="15"/>
  <c r="B450" i="15"/>
  <c r="E450" i="15"/>
  <c r="G450" i="15"/>
  <c r="J450" i="15"/>
  <c r="Q450" i="15"/>
  <c r="X450" i="15" s="1"/>
  <c r="T450" i="15"/>
  <c r="U450" i="15"/>
  <c r="Y450" i="15"/>
  <c r="B453" i="15"/>
  <c r="E453" i="15"/>
  <c r="G453" i="15"/>
  <c r="J453" i="15"/>
  <c r="Q453" i="15"/>
  <c r="T453" i="15"/>
  <c r="U453" i="15"/>
  <c r="Y453" i="15"/>
  <c r="X453" i="15" l="1"/>
  <c r="V451" i="15"/>
  <c r="W454" i="15"/>
  <c r="W451" i="15"/>
  <c r="V455" i="15"/>
  <c r="W455" i="15"/>
  <c r="V454" i="15"/>
  <c r="X455" i="15"/>
  <c r="W450" i="15"/>
  <c r="W453" i="15"/>
  <c r="V453" i="15"/>
  <c r="V450" i="15"/>
  <c r="B129" i="15"/>
  <c r="E129" i="15"/>
  <c r="G129" i="15"/>
  <c r="J129" i="15"/>
  <c r="Q129" i="15"/>
  <c r="X129" i="15" s="1"/>
  <c r="T129" i="15"/>
  <c r="U129" i="15"/>
  <c r="B128" i="15"/>
  <c r="E128" i="15"/>
  <c r="G128" i="15"/>
  <c r="J128" i="15"/>
  <c r="Q128" i="15"/>
  <c r="X128" i="15" s="1"/>
  <c r="T128" i="15"/>
  <c r="U128" i="15"/>
  <c r="Y128" i="15" l="1"/>
  <c r="Y129" i="15"/>
  <c r="W129" i="15"/>
  <c r="W128" i="15"/>
  <c r="V128" i="15"/>
  <c r="V129" i="15"/>
  <c r="B124" i="15"/>
  <c r="E124" i="15"/>
  <c r="G124" i="15"/>
  <c r="J124" i="15"/>
  <c r="Q124" i="15"/>
  <c r="X124" i="15" s="1"/>
  <c r="T124" i="15"/>
  <c r="U124" i="15"/>
  <c r="B123" i="15"/>
  <c r="E123" i="15"/>
  <c r="G123" i="15"/>
  <c r="J123" i="15"/>
  <c r="Q123" i="15"/>
  <c r="X123" i="15" s="1"/>
  <c r="T123" i="15"/>
  <c r="U123" i="15"/>
  <c r="Y124" i="15" l="1"/>
  <c r="Y123" i="15"/>
  <c r="W124" i="15"/>
  <c r="V124" i="15"/>
  <c r="W123" i="15"/>
  <c r="V123" i="15"/>
  <c r="B122" i="15" l="1"/>
  <c r="E122" i="15"/>
  <c r="G122" i="15"/>
  <c r="J122" i="15"/>
  <c r="Q122" i="15"/>
  <c r="X122" i="15" s="1"/>
  <c r="T122" i="15"/>
  <c r="U122" i="15"/>
  <c r="W122" i="15" l="1"/>
  <c r="Y122" i="15"/>
  <c r="V122" i="15"/>
  <c r="B294" i="15" l="1"/>
  <c r="E294" i="15"/>
  <c r="G294" i="15"/>
  <c r="J294" i="15"/>
  <c r="Q294" i="15"/>
  <c r="T294" i="15"/>
  <c r="U294" i="15"/>
  <c r="Y294" i="15"/>
  <c r="B293" i="15"/>
  <c r="E293" i="15"/>
  <c r="G293" i="15"/>
  <c r="J293" i="15"/>
  <c r="Q293" i="15"/>
  <c r="T293" i="15"/>
  <c r="U293" i="15"/>
  <c r="Y293" i="15"/>
  <c r="X293" i="15" l="1"/>
  <c r="W293" i="15"/>
  <c r="V294" i="15"/>
  <c r="W294" i="15"/>
  <c r="X294" i="15"/>
  <c r="V293" i="15"/>
  <c r="B120" i="15" l="1"/>
  <c r="E120" i="15"/>
  <c r="G120" i="15"/>
  <c r="J120" i="15"/>
  <c r="Q120" i="15"/>
  <c r="T120" i="15"/>
  <c r="U120" i="15"/>
  <c r="X120" i="15"/>
  <c r="Y120" i="15"/>
  <c r="W120" i="15" l="1"/>
  <c r="V120" i="15"/>
  <c r="B119" i="15"/>
  <c r="E119" i="15"/>
  <c r="G119" i="15"/>
  <c r="J119" i="15"/>
  <c r="Q119" i="15"/>
  <c r="Y119" i="15" s="1"/>
  <c r="T119" i="15"/>
  <c r="U119" i="15"/>
  <c r="B117" i="15"/>
  <c r="E117" i="15"/>
  <c r="G117" i="15"/>
  <c r="J117" i="15"/>
  <c r="Q117" i="15"/>
  <c r="X117" i="15" s="1"/>
  <c r="T117" i="15"/>
  <c r="U117" i="15"/>
  <c r="Y117" i="15" l="1"/>
  <c r="V119" i="15"/>
  <c r="W119" i="15"/>
  <c r="X119" i="15"/>
  <c r="W117" i="15"/>
  <c r="V117" i="15"/>
  <c r="B114" i="15" l="1"/>
  <c r="E114" i="15"/>
  <c r="G114" i="15"/>
  <c r="J114" i="15"/>
  <c r="Q114" i="15"/>
  <c r="T114" i="15"/>
  <c r="U114" i="15"/>
  <c r="B113" i="15"/>
  <c r="E113" i="15"/>
  <c r="G113" i="15"/>
  <c r="J113" i="15"/>
  <c r="Q113" i="15"/>
  <c r="T113" i="15"/>
  <c r="U113" i="15"/>
  <c r="B121" i="15"/>
  <c r="E121" i="15"/>
  <c r="G121" i="15"/>
  <c r="J121" i="15"/>
  <c r="Q121" i="15"/>
  <c r="T121" i="15"/>
  <c r="U121" i="15"/>
  <c r="X114" i="15" l="1"/>
  <c r="X121" i="15"/>
  <c r="X113" i="15"/>
  <c r="Y121" i="15"/>
  <c r="Y114" i="15"/>
  <c r="Y113" i="15"/>
  <c r="V113" i="15"/>
  <c r="W114" i="15"/>
  <c r="V114" i="15"/>
  <c r="V121" i="15"/>
  <c r="W113" i="15"/>
  <c r="W121" i="15"/>
  <c r="B252" i="15"/>
  <c r="E252" i="15"/>
  <c r="G252" i="15"/>
  <c r="J252" i="15"/>
  <c r="Q252" i="15"/>
  <c r="T252" i="15"/>
  <c r="U252" i="15"/>
  <c r="Y252" i="15"/>
  <c r="X252" i="15" l="1"/>
  <c r="W252" i="15"/>
  <c r="V252" i="15"/>
  <c r="B550" i="15" l="1"/>
  <c r="E550" i="15"/>
  <c r="G550" i="15"/>
  <c r="J550" i="15"/>
  <c r="Q550" i="15"/>
  <c r="T550" i="15"/>
  <c r="U550" i="15"/>
  <c r="X550" i="15"/>
  <c r="Y550" i="15"/>
  <c r="V550" i="15" l="1"/>
  <c r="W550" i="15" s="1"/>
  <c r="B191" i="15"/>
  <c r="E191" i="15"/>
  <c r="G191" i="15"/>
  <c r="J191" i="15"/>
  <c r="Q191" i="15"/>
  <c r="T191" i="15"/>
  <c r="U191" i="15"/>
  <c r="Y191" i="15"/>
  <c r="V191" i="15" l="1"/>
  <c r="W191" i="15"/>
  <c r="X191" i="15"/>
  <c r="B106" i="15"/>
  <c r="E106" i="15"/>
  <c r="G106" i="15"/>
  <c r="J106" i="15"/>
  <c r="Q106" i="15"/>
  <c r="X106" i="15" s="1"/>
  <c r="T106" i="15"/>
  <c r="U106" i="15"/>
  <c r="W106" i="15" l="1"/>
  <c r="Y106" i="15"/>
  <c r="V106" i="15"/>
  <c r="B111" i="15" l="1"/>
  <c r="E111" i="15"/>
  <c r="G111" i="15"/>
  <c r="J111" i="15"/>
  <c r="Q111" i="15"/>
  <c r="Y111" i="15" s="1"/>
  <c r="T111" i="15"/>
  <c r="U111" i="15"/>
  <c r="X111" i="15"/>
  <c r="W111" i="15" l="1"/>
  <c r="V111" i="15"/>
  <c r="B110" i="15"/>
  <c r="E110" i="15"/>
  <c r="G110" i="15"/>
  <c r="J110" i="15"/>
  <c r="Q110" i="15"/>
  <c r="X110" i="15" s="1"/>
  <c r="T110" i="15"/>
  <c r="U110" i="15"/>
  <c r="B109" i="15"/>
  <c r="E109" i="15"/>
  <c r="G109" i="15"/>
  <c r="J109" i="15"/>
  <c r="Q109" i="15"/>
  <c r="X109" i="15" s="1"/>
  <c r="T109" i="15"/>
  <c r="U109" i="15"/>
  <c r="B108" i="15"/>
  <c r="E108" i="15"/>
  <c r="G108" i="15"/>
  <c r="J108" i="15"/>
  <c r="Q108" i="15"/>
  <c r="X108" i="15" s="1"/>
  <c r="T108" i="15"/>
  <c r="U108" i="15"/>
  <c r="B107" i="15"/>
  <c r="E107" i="15"/>
  <c r="G107" i="15"/>
  <c r="J107" i="15"/>
  <c r="Q107" i="15"/>
  <c r="X107" i="15" s="1"/>
  <c r="T107" i="15"/>
  <c r="U107" i="15"/>
  <c r="Y107" i="15" l="1"/>
  <c r="Y108" i="15"/>
  <c r="W110" i="15"/>
  <c r="Y109" i="15"/>
  <c r="Y110" i="15"/>
  <c r="V110" i="15"/>
  <c r="W109" i="15"/>
  <c r="V108" i="15"/>
  <c r="W107" i="15"/>
  <c r="W108" i="15"/>
  <c r="V109" i="15"/>
  <c r="V107" i="15"/>
  <c r="B127" i="15" l="1"/>
  <c r="E127" i="15"/>
  <c r="G127" i="15"/>
  <c r="J127" i="15"/>
  <c r="Q127" i="15"/>
  <c r="X127" i="15" s="1"/>
  <c r="T127" i="15"/>
  <c r="U127" i="15"/>
  <c r="Y127" i="15"/>
  <c r="B125" i="15"/>
  <c r="E125" i="15"/>
  <c r="G125" i="15"/>
  <c r="J125" i="15"/>
  <c r="Q125" i="15"/>
  <c r="X125" i="15" s="1"/>
  <c r="T125" i="15"/>
  <c r="U125" i="15"/>
  <c r="Y125" i="15"/>
  <c r="B126" i="15"/>
  <c r="E126" i="15"/>
  <c r="G126" i="15"/>
  <c r="J126" i="15"/>
  <c r="Q126" i="15"/>
  <c r="T126" i="15"/>
  <c r="U126" i="15"/>
  <c r="Y126" i="15"/>
  <c r="X126" i="15" l="1"/>
  <c r="V125" i="15"/>
  <c r="W126" i="15"/>
  <c r="W125" i="15"/>
  <c r="W127" i="15"/>
  <c r="V127" i="15"/>
  <c r="V126" i="15"/>
  <c r="B188" i="15" l="1"/>
  <c r="E188" i="15"/>
  <c r="G188" i="15"/>
  <c r="J188" i="15"/>
  <c r="Q188" i="15"/>
  <c r="T188" i="15"/>
  <c r="U188" i="15"/>
  <c r="X188" i="15"/>
  <c r="Y188" i="15"/>
  <c r="B187" i="15"/>
  <c r="E187" i="15"/>
  <c r="G187" i="15"/>
  <c r="J187" i="15"/>
  <c r="Q187" i="15"/>
  <c r="T187" i="15"/>
  <c r="U187" i="15"/>
  <c r="X187" i="15"/>
  <c r="Y187" i="15"/>
  <c r="B207" i="15"/>
  <c r="E207" i="15"/>
  <c r="G207" i="15"/>
  <c r="J207" i="15"/>
  <c r="Q207" i="15"/>
  <c r="X207" i="15" s="1"/>
  <c r="T207" i="15"/>
  <c r="U207" i="15"/>
  <c r="Y207" i="15"/>
  <c r="B206" i="15"/>
  <c r="E206" i="15"/>
  <c r="G206" i="15"/>
  <c r="J206" i="15"/>
  <c r="Q206" i="15"/>
  <c r="X206" i="15" s="1"/>
  <c r="T206" i="15"/>
  <c r="U206" i="15"/>
  <c r="Y206" i="15"/>
  <c r="W188" i="15" l="1"/>
  <c r="W207" i="15"/>
  <c r="W187" i="15"/>
  <c r="V187" i="15"/>
  <c r="V188" i="15"/>
  <c r="W206" i="15"/>
  <c r="V207" i="15"/>
  <c r="V206" i="15"/>
  <c r="B133" i="15"/>
  <c r="E133" i="15"/>
  <c r="G133" i="15"/>
  <c r="J133" i="15"/>
  <c r="Q133" i="15"/>
  <c r="T133" i="15"/>
  <c r="U133" i="15"/>
  <c r="X133" i="15" l="1"/>
  <c r="Y133" i="15"/>
  <c r="W133" i="15"/>
  <c r="V133" i="15"/>
  <c r="B251" i="15" l="1"/>
  <c r="E251" i="15"/>
  <c r="G251" i="15"/>
  <c r="J251" i="15"/>
  <c r="Q251" i="15"/>
  <c r="T251" i="15"/>
  <c r="U251" i="15"/>
  <c r="Y251" i="15"/>
  <c r="B248" i="15"/>
  <c r="E248" i="15"/>
  <c r="G248" i="15"/>
  <c r="J248" i="15"/>
  <c r="Q248" i="15"/>
  <c r="X248" i="15" s="1"/>
  <c r="T248" i="15"/>
  <c r="U248" i="15"/>
  <c r="Y248" i="15"/>
  <c r="B246" i="15"/>
  <c r="E246" i="15"/>
  <c r="G246" i="15"/>
  <c r="J246" i="15"/>
  <c r="Q246" i="15"/>
  <c r="X246" i="15" s="1"/>
  <c r="T246" i="15"/>
  <c r="U246" i="15"/>
  <c r="Y246" i="15"/>
  <c r="B244" i="15"/>
  <c r="E244" i="15"/>
  <c r="G244" i="15"/>
  <c r="J244" i="15"/>
  <c r="Q244" i="15"/>
  <c r="X244" i="15" s="1"/>
  <c r="T244" i="15"/>
  <c r="U244" i="15"/>
  <c r="Y244" i="15"/>
  <c r="B250" i="15"/>
  <c r="E250" i="15"/>
  <c r="G250" i="15"/>
  <c r="J250" i="15"/>
  <c r="Q250" i="15"/>
  <c r="T250" i="15"/>
  <c r="U250" i="15"/>
  <c r="Y250" i="15"/>
  <c r="X250" i="15" l="1"/>
  <c r="W251" i="15"/>
  <c r="V248" i="15"/>
  <c r="V251" i="15"/>
  <c r="W250" i="15"/>
  <c r="W244" i="15"/>
  <c r="W246" i="15"/>
  <c r="V246" i="15"/>
  <c r="W248" i="15"/>
  <c r="X251" i="15"/>
  <c r="V244" i="15"/>
  <c r="V250" i="15"/>
  <c r="B495" i="15" l="1"/>
  <c r="E495" i="15"/>
  <c r="G495" i="15"/>
  <c r="J495" i="15"/>
  <c r="Q495" i="15"/>
  <c r="X495" i="15" s="1"/>
  <c r="T495" i="15"/>
  <c r="U495" i="15"/>
  <c r="Y495" i="15"/>
  <c r="W495" i="15" l="1"/>
  <c r="V495" i="15"/>
  <c r="B291" i="15" l="1"/>
  <c r="E291" i="15"/>
  <c r="G291" i="15"/>
  <c r="J291" i="15"/>
  <c r="Q291" i="15"/>
  <c r="T291" i="15"/>
  <c r="U291" i="15"/>
  <c r="Y291" i="15"/>
  <c r="B292" i="15"/>
  <c r="E292" i="15"/>
  <c r="G292" i="15"/>
  <c r="J292" i="15"/>
  <c r="Q292" i="15"/>
  <c r="T292" i="15"/>
  <c r="U292" i="15"/>
  <c r="Y292" i="15"/>
  <c r="X292" i="15" l="1"/>
  <c r="V292" i="15"/>
  <c r="W292" i="15"/>
  <c r="W291" i="15"/>
  <c r="V291" i="15"/>
  <c r="X291" i="15"/>
  <c r="B530" i="15" l="1"/>
  <c r="E530" i="15"/>
  <c r="G530" i="15"/>
  <c r="J530" i="15"/>
  <c r="Q530" i="15"/>
  <c r="X530" i="15" s="1"/>
  <c r="T530" i="15"/>
  <c r="U530" i="15"/>
  <c r="Y530" i="15"/>
  <c r="B525" i="15"/>
  <c r="E525" i="15"/>
  <c r="G525" i="15"/>
  <c r="J525" i="15"/>
  <c r="Q525" i="15"/>
  <c r="X525" i="15" s="1"/>
  <c r="T525" i="15"/>
  <c r="U525" i="15"/>
  <c r="Y525" i="15"/>
  <c r="B523" i="15"/>
  <c r="E523" i="15"/>
  <c r="G523" i="15"/>
  <c r="J523" i="15"/>
  <c r="Q523" i="15"/>
  <c r="X523" i="15" s="1"/>
  <c r="T523" i="15"/>
  <c r="U523" i="15"/>
  <c r="Y523" i="15"/>
  <c r="B528" i="15"/>
  <c r="E528" i="15"/>
  <c r="G528" i="15"/>
  <c r="J528" i="15"/>
  <c r="Q528" i="15"/>
  <c r="X528" i="15" s="1"/>
  <c r="T528" i="15"/>
  <c r="U528" i="15"/>
  <c r="Y528" i="15"/>
  <c r="B527" i="15"/>
  <c r="E527" i="15"/>
  <c r="G527" i="15"/>
  <c r="J527" i="15"/>
  <c r="Q527" i="15"/>
  <c r="X527" i="15" s="1"/>
  <c r="T527" i="15"/>
  <c r="U527" i="15"/>
  <c r="Y527" i="15"/>
  <c r="B529" i="15"/>
  <c r="E529" i="15"/>
  <c r="G529" i="15"/>
  <c r="J529" i="15"/>
  <c r="Q529" i="15"/>
  <c r="T529" i="15"/>
  <c r="U529" i="15"/>
  <c r="Y529" i="15"/>
  <c r="X529" i="15" l="1"/>
  <c r="V530" i="15"/>
  <c r="W530" i="15"/>
  <c r="W523" i="15"/>
  <c r="W525" i="15"/>
  <c r="V525" i="15"/>
  <c r="W528" i="15"/>
  <c r="V523" i="15"/>
  <c r="W527" i="15"/>
  <c r="W529" i="15"/>
  <c r="V528" i="15"/>
  <c r="V527" i="15"/>
  <c r="V529" i="15"/>
  <c r="B105" i="15"/>
  <c r="E105" i="15"/>
  <c r="G105" i="15"/>
  <c r="J105" i="15"/>
  <c r="Q105" i="15"/>
  <c r="T105" i="15"/>
  <c r="U105" i="15"/>
  <c r="B104" i="15"/>
  <c r="E104" i="15"/>
  <c r="G104" i="15"/>
  <c r="J104" i="15"/>
  <c r="Q104" i="15"/>
  <c r="T104" i="15"/>
  <c r="U104" i="15"/>
  <c r="X104" i="15" l="1"/>
  <c r="X105" i="15"/>
  <c r="Y104" i="15"/>
  <c r="Y105" i="15"/>
  <c r="W105" i="15"/>
  <c r="W104" i="15"/>
  <c r="V105" i="15"/>
  <c r="V104" i="15"/>
  <c r="B448" i="15" l="1"/>
  <c r="E448" i="15"/>
  <c r="G448" i="15"/>
  <c r="J448" i="15"/>
  <c r="Q448" i="15"/>
  <c r="X448" i="15" s="1"/>
  <c r="T448" i="15"/>
  <c r="U448" i="15"/>
  <c r="Y448" i="15"/>
  <c r="B446" i="15"/>
  <c r="E446" i="15"/>
  <c r="G446" i="15"/>
  <c r="J446" i="15"/>
  <c r="Q446" i="15"/>
  <c r="X446" i="15" s="1"/>
  <c r="T446" i="15"/>
  <c r="U446" i="15"/>
  <c r="Y446" i="15"/>
  <c r="B445" i="15"/>
  <c r="E445" i="15"/>
  <c r="G445" i="15"/>
  <c r="J445" i="15"/>
  <c r="Q445" i="15"/>
  <c r="X445" i="15" s="1"/>
  <c r="T445" i="15"/>
  <c r="U445" i="15"/>
  <c r="Y445" i="15"/>
  <c r="B444" i="15"/>
  <c r="E444" i="15"/>
  <c r="G444" i="15"/>
  <c r="J444" i="15"/>
  <c r="Q444" i="15"/>
  <c r="X444" i="15" s="1"/>
  <c r="T444" i="15"/>
  <c r="U444" i="15"/>
  <c r="Y444" i="15"/>
  <c r="B443" i="15"/>
  <c r="E443" i="15"/>
  <c r="G443" i="15"/>
  <c r="J443" i="15"/>
  <c r="Q443" i="15"/>
  <c r="X443" i="15" s="1"/>
  <c r="T443" i="15"/>
  <c r="U443" i="15"/>
  <c r="Y443" i="15"/>
  <c r="B441" i="15"/>
  <c r="E441" i="15"/>
  <c r="G441" i="15"/>
  <c r="J441" i="15"/>
  <c r="Q441" i="15"/>
  <c r="T441" i="15"/>
  <c r="U441" i="15"/>
  <c r="Y441" i="15"/>
  <c r="B440" i="15"/>
  <c r="E440" i="15"/>
  <c r="G440" i="15"/>
  <c r="J440" i="15"/>
  <c r="Q440" i="15"/>
  <c r="X440" i="15" s="1"/>
  <c r="T440" i="15"/>
  <c r="U440" i="15"/>
  <c r="Y440" i="15"/>
  <c r="B439" i="15"/>
  <c r="E439" i="15"/>
  <c r="G439" i="15"/>
  <c r="J439" i="15"/>
  <c r="Q439" i="15"/>
  <c r="X439" i="15" s="1"/>
  <c r="T439" i="15"/>
  <c r="U439" i="15"/>
  <c r="Y439" i="15"/>
  <c r="B438" i="15"/>
  <c r="E438" i="15"/>
  <c r="G438" i="15"/>
  <c r="J438" i="15"/>
  <c r="Q438" i="15"/>
  <c r="X438" i="15" s="1"/>
  <c r="T438" i="15"/>
  <c r="U438" i="15"/>
  <c r="Y438" i="15"/>
  <c r="B434" i="15"/>
  <c r="E434" i="15"/>
  <c r="G434" i="15"/>
  <c r="J434" i="15"/>
  <c r="Q434" i="15"/>
  <c r="X434" i="15" s="1"/>
  <c r="T434" i="15"/>
  <c r="U434" i="15"/>
  <c r="Y434" i="15"/>
  <c r="B101" i="15"/>
  <c r="E101" i="15"/>
  <c r="G101" i="15"/>
  <c r="J101" i="15"/>
  <c r="Q101" i="15"/>
  <c r="T101" i="15"/>
  <c r="U101" i="15"/>
  <c r="B435" i="15"/>
  <c r="E435" i="15"/>
  <c r="G435" i="15"/>
  <c r="J435" i="15"/>
  <c r="Q435" i="15"/>
  <c r="T435" i="15"/>
  <c r="U435" i="15"/>
  <c r="Y435" i="15"/>
  <c r="B100" i="15"/>
  <c r="E100" i="15"/>
  <c r="G100" i="15"/>
  <c r="J100" i="15"/>
  <c r="Q100" i="15"/>
  <c r="T100" i="15"/>
  <c r="U100" i="15"/>
  <c r="B99" i="15"/>
  <c r="E99" i="15"/>
  <c r="G99" i="15"/>
  <c r="J99" i="15"/>
  <c r="Q99" i="15"/>
  <c r="T99" i="15"/>
  <c r="U99" i="15"/>
  <c r="B98" i="15"/>
  <c r="E98" i="15"/>
  <c r="G98" i="15"/>
  <c r="J98" i="15"/>
  <c r="Q98" i="15"/>
  <c r="T98" i="15"/>
  <c r="U98" i="15"/>
  <c r="B447" i="15"/>
  <c r="E447" i="15"/>
  <c r="G447" i="15"/>
  <c r="J447" i="15"/>
  <c r="Q447" i="15"/>
  <c r="T447" i="15"/>
  <c r="U447" i="15"/>
  <c r="Y447" i="15"/>
  <c r="X447" i="15" l="1"/>
  <c r="X99" i="15"/>
  <c r="X98" i="15"/>
  <c r="X101" i="15"/>
  <c r="X100" i="15"/>
  <c r="X435" i="15"/>
  <c r="W448" i="15"/>
  <c r="Y98" i="15"/>
  <c r="Y99" i="15"/>
  <c r="Y100" i="15"/>
  <c r="Y101" i="15"/>
  <c r="V448" i="15"/>
  <c r="W441" i="15"/>
  <c r="W443" i="15"/>
  <c r="W444" i="15"/>
  <c r="W445" i="15"/>
  <c r="W446" i="15"/>
  <c r="V444" i="15"/>
  <c r="V446" i="15"/>
  <c r="V445" i="15"/>
  <c r="V443" i="15"/>
  <c r="V441" i="15"/>
  <c r="X441" i="15"/>
  <c r="W440" i="15"/>
  <c r="V440" i="15"/>
  <c r="W98" i="15"/>
  <c r="V99" i="15"/>
  <c r="W439" i="15"/>
  <c r="W100" i="15"/>
  <c r="W438" i="15"/>
  <c r="V439" i="15"/>
  <c r="W435" i="15"/>
  <c r="W434" i="15"/>
  <c r="V435" i="15"/>
  <c r="V438" i="15"/>
  <c r="W101" i="15"/>
  <c r="V434" i="15"/>
  <c r="W447" i="15"/>
  <c r="W99" i="15"/>
  <c r="V101" i="15"/>
  <c r="V100" i="15"/>
  <c r="V447" i="15"/>
  <c r="V98" i="15"/>
  <c r="B533" i="15" l="1"/>
  <c r="E533" i="15"/>
  <c r="G533" i="15"/>
  <c r="J533" i="15"/>
  <c r="Q533" i="15"/>
  <c r="X533" i="15" s="1"/>
  <c r="T533" i="15"/>
  <c r="U533" i="15"/>
  <c r="Y533" i="15"/>
  <c r="W533" i="15" l="1"/>
  <c r="V533" i="15"/>
  <c r="B186" i="15"/>
  <c r="E186" i="15"/>
  <c r="G186" i="15"/>
  <c r="J186" i="15"/>
  <c r="Q186" i="15"/>
  <c r="T186" i="15"/>
  <c r="U186" i="15"/>
  <c r="X186" i="15"/>
  <c r="Y186" i="15"/>
  <c r="B185" i="15"/>
  <c r="E185" i="15"/>
  <c r="G185" i="15"/>
  <c r="J185" i="15"/>
  <c r="Q185" i="15"/>
  <c r="T185" i="15"/>
  <c r="U185" i="15"/>
  <c r="X185" i="15"/>
  <c r="Y185" i="15"/>
  <c r="V186" i="15" l="1"/>
  <c r="W186" i="15" s="1"/>
  <c r="V185" i="15"/>
  <c r="W185" i="15" s="1"/>
  <c r="B290" i="15"/>
  <c r="E290" i="15"/>
  <c r="G290" i="15"/>
  <c r="J290" i="15"/>
  <c r="Q290" i="15"/>
  <c r="T290" i="15"/>
  <c r="U290" i="15"/>
  <c r="Y290" i="15"/>
  <c r="B289" i="15"/>
  <c r="E289" i="15"/>
  <c r="G289" i="15"/>
  <c r="J289" i="15"/>
  <c r="Q289" i="15"/>
  <c r="T289" i="15"/>
  <c r="U289" i="15"/>
  <c r="Y289" i="15"/>
  <c r="B288" i="15"/>
  <c r="E288" i="15"/>
  <c r="G288" i="15"/>
  <c r="J288" i="15"/>
  <c r="Q288" i="15"/>
  <c r="T288" i="15"/>
  <c r="U288" i="15"/>
  <c r="Y288" i="15"/>
  <c r="B287" i="15"/>
  <c r="E287" i="15"/>
  <c r="G287" i="15"/>
  <c r="J287" i="15"/>
  <c r="Q287" i="15"/>
  <c r="T287" i="15"/>
  <c r="U287" i="15"/>
  <c r="Y287" i="15"/>
  <c r="X287" i="15" l="1"/>
  <c r="X288" i="15"/>
  <c r="X289" i="15"/>
  <c r="X290" i="15"/>
  <c r="W290" i="15"/>
  <c r="W287" i="15"/>
  <c r="W288" i="15"/>
  <c r="V288" i="15"/>
  <c r="W289" i="15"/>
  <c r="V290" i="15"/>
  <c r="V289" i="15"/>
  <c r="V287" i="15"/>
  <c r="B526" i="15"/>
  <c r="E526" i="15"/>
  <c r="G526" i="15"/>
  <c r="J526" i="15"/>
  <c r="Q526" i="15"/>
  <c r="T526" i="15"/>
  <c r="U526" i="15"/>
  <c r="Y526" i="15"/>
  <c r="B524" i="15"/>
  <c r="E524" i="15"/>
  <c r="G524" i="15"/>
  <c r="J524" i="15"/>
  <c r="Q524" i="15"/>
  <c r="T524" i="15"/>
  <c r="U524" i="15"/>
  <c r="Y524" i="15"/>
  <c r="X524" i="15" l="1"/>
  <c r="X526" i="15"/>
  <c r="W526" i="15"/>
  <c r="W524" i="15"/>
  <c r="V526" i="15"/>
  <c r="V524" i="15"/>
  <c r="B493" i="15"/>
  <c r="E493" i="15"/>
  <c r="G493" i="15"/>
  <c r="J493" i="15"/>
  <c r="Q493" i="15"/>
  <c r="T493" i="15"/>
  <c r="U493" i="15"/>
  <c r="Y493" i="15"/>
  <c r="B118" i="15"/>
  <c r="E118" i="15"/>
  <c r="G118" i="15"/>
  <c r="J118" i="15"/>
  <c r="Q118" i="15"/>
  <c r="X118" i="15" s="1"/>
  <c r="T118" i="15"/>
  <c r="U118" i="15"/>
  <c r="B492" i="15"/>
  <c r="E492" i="15"/>
  <c r="G492" i="15"/>
  <c r="J492" i="15"/>
  <c r="Q492" i="15"/>
  <c r="X492" i="15" s="1"/>
  <c r="T492" i="15"/>
  <c r="U492" i="15"/>
  <c r="Y492" i="15"/>
  <c r="B494" i="15"/>
  <c r="E494" i="15"/>
  <c r="G494" i="15"/>
  <c r="J494" i="15"/>
  <c r="Q494" i="15"/>
  <c r="T494" i="15"/>
  <c r="U494" i="15"/>
  <c r="Y494" i="15"/>
  <c r="X494" i="15" l="1"/>
  <c r="X493" i="15"/>
  <c r="Y118" i="15"/>
  <c r="W493" i="15"/>
  <c r="W492" i="15"/>
  <c r="V118" i="15"/>
  <c r="W118" i="15"/>
  <c r="V493" i="15"/>
  <c r="W494" i="15"/>
  <c r="V492" i="15"/>
  <c r="V494" i="15"/>
  <c r="B249" i="15"/>
  <c r="E249" i="15"/>
  <c r="G249" i="15"/>
  <c r="J249" i="15"/>
  <c r="Q249" i="15"/>
  <c r="T249" i="15"/>
  <c r="U249" i="15"/>
  <c r="Y249" i="15"/>
  <c r="B247" i="15"/>
  <c r="E247" i="15"/>
  <c r="G247" i="15"/>
  <c r="J247" i="15"/>
  <c r="Q247" i="15"/>
  <c r="T247" i="15"/>
  <c r="U247" i="15"/>
  <c r="Y247" i="15"/>
  <c r="B245" i="15"/>
  <c r="E245" i="15"/>
  <c r="G245" i="15"/>
  <c r="J245" i="15"/>
  <c r="Q245" i="15"/>
  <c r="T245" i="15"/>
  <c r="U245" i="15"/>
  <c r="Y245" i="15"/>
  <c r="B243" i="15"/>
  <c r="E243" i="15"/>
  <c r="G243" i="15"/>
  <c r="J243" i="15"/>
  <c r="Q243" i="15"/>
  <c r="X243" i="15" s="1"/>
  <c r="T243" i="15"/>
  <c r="U243" i="15"/>
  <c r="Y243" i="15"/>
  <c r="X245" i="15" l="1"/>
  <c r="X247" i="15"/>
  <c r="X249" i="15"/>
  <c r="W245" i="15"/>
  <c r="W247" i="15"/>
  <c r="W249" i="15"/>
  <c r="V249" i="15"/>
  <c r="V245" i="15"/>
  <c r="V247" i="15"/>
  <c r="W243" i="15"/>
  <c r="V243" i="15"/>
  <c r="B75" i="15"/>
  <c r="E75" i="15"/>
  <c r="G75" i="15"/>
  <c r="J75" i="15"/>
  <c r="Q75" i="15"/>
  <c r="X75" i="15" s="1"/>
  <c r="T75" i="15"/>
  <c r="U75" i="15"/>
  <c r="Y75" i="15" l="1"/>
  <c r="V75" i="15"/>
  <c r="W75" i="15"/>
  <c r="B190" i="15"/>
  <c r="E190" i="15"/>
  <c r="G190" i="15"/>
  <c r="J190" i="15"/>
  <c r="Q190" i="15"/>
  <c r="T190" i="15"/>
  <c r="U190" i="15"/>
  <c r="Y190" i="15"/>
  <c r="X190" i="15" l="1"/>
  <c r="W190" i="15"/>
  <c r="V190" i="15"/>
  <c r="B426" i="15"/>
  <c r="E426" i="15"/>
  <c r="G426" i="15"/>
  <c r="J426" i="15"/>
  <c r="Q426" i="15"/>
  <c r="X426" i="15" s="1"/>
  <c r="T426" i="15"/>
  <c r="U426" i="15"/>
  <c r="Y426" i="15"/>
  <c r="W426" i="15" l="1"/>
  <c r="V426" i="15"/>
  <c r="B437" i="15" l="1"/>
  <c r="E437" i="15"/>
  <c r="G437" i="15"/>
  <c r="J437" i="15"/>
  <c r="Q437" i="15"/>
  <c r="X437" i="15" s="1"/>
  <c r="T437" i="15"/>
  <c r="U437" i="15"/>
  <c r="Y437" i="15"/>
  <c r="B433" i="15"/>
  <c r="E433" i="15"/>
  <c r="G433" i="15"/>
  <c r="J433" i="15"/>
  <c r="Q433" i="15"/>
  <c r="X433" i="15" s="1"/>
  <c r="T433" i="15"/>
  <c r="U433" i="15"/>
  <c r="Y433" i="15"/>
  <c r="B442" i="15"/>
  <c r="E442" i="15"/>
  <c r="G442" i="15"/>
  <c r="J442" i="15"/>
  <c r="Q442" i="15"/>
  <c r="T442" i="15"/>
  <c r="U442" i="15"/>
  <c r="Y442" i="15"/>
  <c r="B436" i="15"/>
  <c r="E436" i="15"/>
  <c r="G436" i="15"/>
  <c r="J436" i="15"/>
  <c r="Q436" i="15"/>
  <c r="T436" i="15"/>
  <c r="U436" i="15"/>
  <c r="Y436" i="15"/>
  <c r="B429" i="15"/>
  <c r="E429" i="15"/>
  <c r="G429" i="15"/>
  <c r="J429" i="15"/>
  <c r="Q429" i="15"/>
  <c r="X429" i="15" s="1"/>
  <c r="T429" i="15"/>
  <c r="U429" i="15"/>
  <c r="Y429" i="15"/>
  <c r="B428" i="15"/>
  <c r="E428" i="15"/>
  <c r="G428" i="15"/>
  <c r="J428" i="15"/>
  <c r="Q428" i="15"/>
  <c r="X428" i="15" s="1"/>
  <c r="T428" i="15"/>
  <c r="U428" i="15"/>
  <c r="Y428" i="15"/>
  <c r="B427" i="15"/>
  <c r="E427" i="15"/>
  <c r="G427" i="15"/>
  <c r="J427" i="15"/>
  <c r="Q427" i="15"/>
  <c r="X427" i="15" s="1"/>
  <c r="T427" i="15"/>
  <c r="U427" i="15"/>
  <c r="Y427" i="15"/>
  <c r="B424" i="15"/>
  <c r="E424" i="15"/>
  <c r="G424" i="15"/>
  <c r="J424" i="15"/>
  <c r="Q424" i="15"/>
  <c r="X424" i="15" s="1"/>
  <c r="T424" i="15"/>
  <c r="U424" i="15"/>
  <c r="Y424" i="15"/>
  <c r="B423" i="15"/>
  <c r="E423" i="15"/>
  <c r="G423" i="15"/>
  <c r="J423" i="15"/>
  <c r="Q423" i="15"/>
  <c r="X423" i="15" s="1"/>
  <c r="T423" i="15"/>
  <c r="U423" i="15"/>
  <c r="Y423" i="15"/>
  <c r="B430" i="15"/>
  <c r="E430" i="15"/>
  <c r="G430" i="15"/>
  <c r="J430" i="15"/>
  <c r="Q430" i="15"/>
  <c r="T430" i="15"/>
  <c r="U430" i="15"/>
  <c r="Y430" i="15"/>
  <c r="B97" i="15"/>
  <c r="E97" i="15"/>
  <c r="G97" i="15"/>
  <c r="J97" i="15"/>
  <c r="Q97" i="15"/>
  <c r="T97" i="15"/>
  <c r="U97" i="15"/>
  <c r="B96" i="15"/>
  <c r="E96" i="15"/>
  <c r="G96" i="15"/>
  <c r="J96" i="15"/>
  <c r="Q96" i="15"/>
  <c r="T96" i="15"/>
  <c r="U96" i="15"/>
  <c r="B418" i="15"/>
  <c r="E418" i="15"/>
  <c r="G418" i="15"/>
  <c r="J418" i="15"/>
  <c r="Q418" i="15"/>
  <c r="T418" i="15"/>
  <c r="U418" i="15"/>
  <c r="Y418" i="15"/>
  <c r="B414" i="15"/>
  <c r="E414" i="15"/>
  <c r="G414" i="15"/>
  <c r="J414" i="15"/>
  <c r="Q414" i="15"/>
  <c r="X414" i="15" s="1"/>
  <c r="T414" i="15"/>
  <c r="U414" i="15"/>
  <c r="Y414" i="15"/>
  <c r="B413" i="15"/>
  <c r="E413" i="15"/>
  <c r="G413" i="15"/>
  <c r="J413" i="15"/>
  <c r="Q413" i="15"/>
  <c r="T413" i="15"/>
  <c r="U413" i="15"/>
  <c r="Y413" i="15"/>
  <c r="B432" i="15"/>
  <c r="E432" i="15"/>
  <c r="G432" i="15"/>
  <c r="J432" i="15"/>
  <c r="Q432" i="15"/>
  <c r="X432" i="15" s="1"/>
  <c r="T432" i="15"/>
  <c r="U432" i="15"/>
  <c r="Y432" i="15"/>
  <c r="B431" i="15"/>
  <c r="E431" i="15"/>
  <c r="G431" i="15"/>
  <c r="J431" i="15"/>
  <c r="Q431" i="15"/>
  <c r="T431" i="15"/>
  <c r="U431" i="15"/>
  <c r="Y431" i="15"/>
  <c r="B425" i="15"/>
  <c r="E425" i="15"/>
  <c r="G425" i="15"/>
  <c r="J425" i="15"/>
  <c r="Q425" i="15"/>
  <c r="T425" i="15"/>
  <c r="U425" i="15"/>
  <c r="Y425" i="15"/>
  <c r="B297" i="15"/>
  <c r="E297" i="15"/>
  <c r="G297" i="15"/>
  <c r="J297" i="15"/>
  <c r="Q297" i="15"/>
  <c r="X297" i="15" s="1"/>
  <c r="T297" i="15"/>
  <c r="U297" i="15"/>
  <c r="Y297" i="15"/>
  <c r="B422" i="15"/>
  <c r="E422" i="15"/>
  <c r="G422" i="15"/>
  <c r="J422" i="15"/>
  <c r="Q422" i="15"/>
  <c r="X422" i="15" s="1"/>
  <c r="T422" i="15"/>
  <c r="U422" i="15"/>
  <c r="Y422" i="15"/>
  <c r="X413" i="15" l="1"/>
  <c r="X97" i="15"/>
  <c r="X430" i="15"/>
  <c r="X96" i="15"/>
  <c r="X418" i="15"/>
  <c r="Y96" i="15"/>
  <c r="Y97" i="15"/>
  <c r="W427" i="15"/>
  <c r="W436" i="15"/>
  <c r="W437" i="15"/>
  <c r="X425" i="15"/>
  <c r="X431" i="15"/>
  <c r="X436" i="15"/>
  <c r="X442" i="15"/>
  <c r="W433" i="15"/>
  <c r="V427" i="15"/>
  <c r="V437" i="15"/>
  <c r="W442" i="15"/>
  <c r="V436" i="15"/>
  <c r="W424" i="15"/>
  <c r="W429" i="15"/>
  <c r="V433" i="15"/>
  <c r="V429" i="15"/>
  <c r="V442" i="15"/>
  <c r="W428" i="15"/>
  <c r="V424" i="15"/>
  <c r="V428" i="15"/>
  <c r="W423" i="15"/>
  <c r="W413" i="15"/>
  <c r="W414" i="15"/>
  <c r="W418" i="15"/>
  <c r="W96" i="15"/>
  <c r="W430" i="15"/>
  <c r="V423" i="15"/>
  <c r="W97" i="15"/>
  <c r="V430" i="15"/>
  <c r="V97" i="15"/>
  <c r="V413" i="15"/>
  <c r="V414" i="15"/>
  <c r="V96" i="15"/>
  <c r="V418" i="15"/>
  <c r="W297" i="15"/>
  <c r="W425" i="15"/>
  <c r="W431" i="15"/>
  <c r="W432" i="15"/>
  <c r="V297" i="15"/>
  <c r="V432" i="15"/>
  <c r="V425" i="15"/>
  <c r="V431" i="15"/>
  <c r="W422" i="15"/>
  <c r="V422" i="15"/>
  <c r="B92" i="15"/>
  <c r="E92" i="15"/>
  <c r="G92" i="15"/>
  <c r="J92" i="15"/>
  <c r="Q92" i="15"/>
  <c r="Y92" i="15" s="1"/>
  <c r="T92" i="15"/>
  <c r="U92" i="15"/>
  <c r="B91" i="15"/>
  <c r="E91" i="15"/>
  <c r="G91" i="15"/>
  <c r="J91" i="15"/>
  <c r="Q91" i="15"/>
  <c r="X91" i="15" s="1"/>
  <c r="T91" i="15"/>
  <c r="U91" i="15"/>
  <c r="Y91" i="15" l="1"/>
  <c r="W91" i="15"/>
  <c r="W92" i="15"/>
  <c r="V92" i="15"/>
  <c r="V91" i="15"/>
  <c r="X92" i="15"/>
  <c r="B95" i="15"/>
  <c r="E95" i="15"/>
  <c r="G95" i="15"/>
  <c r="J95" i="15"/>
  <c r="Q95" i="15"/>
  <c r="X95" i="15" s="1"/>
  <c r="T95" i="15"/>
  <c r="U95" i="15"/>
  <c r="B94" i="15"/>
  <c r="E94" i="15"/>
  <c r="G94" i="15"/>
  <c r="J94" i="15"/>
  <c r="Q94" i="15"/>
  <c r="Y94" i="15" s="1"/>
  <c r="T94" i="15"/>
  <c r="U94" i="15"/>
  <c r="B93" i="15"/>
  <c r="E93" i="15"/>
  <c r="G93" i="15"/>
  <c r="J93" i="15"/>
  <c r="Q93" i="15"/>
  <c r="X93" i="15" s="1"/>
  <c r="T93" i="15"/>
  <c r="U93" i="15"/>
  <c r="Y93" i="15" l="1"/>
  <c r="Y95" i="15"/>
  <c r="V94" i="15"/>
  <c r="W94" i="15"/>
  <c r="W95" i="15"/>
  <c r="X94" i="15"/>
  <c r="V95" i="15"/>
  <c r="W93" i="15"/>
  <c r="V93" i="15"/>
  <c r="B90" i="15"/>
  <c r="E90" i="15"/>
  <c r="G90" i="15"/>
  <c r="J90" i="15"/>
  <c r="Q90" i="15"/>
  <c r="X90" i="15" s="1"/>
  <c r="T90" i="15"/>
  <c r="U90" i="15"/>
  <c r="B89" i="15"/>
  <c r="E89" i="15"/>
  <c r="G89" i="15"/>
  <c r="J89" i="15"/>
  <c r="Q89" i="15"/>
  <c r="X89" i="15" s="1"/>
  <c r="T89" i="15"/>
  <c r="U89" i="15"/>
  <c r="B88" i="15"/>
  <c r="E88" i="15"/>
  <c r="G88" i="15"/>
  <c r="J88" i="15"/>
  <c r="Q88" i="15"/>
  <c r="X88" i="15" s="1"/>
  <c r="T88" i="15"/>
  <c r="U88" i="15"/>
  <c r="B87" i="15"/>
  <c r="E87" i="15"/>
  <c r="G87" i="15"/>
  <c r="J87" i="15"/>
  <c r="Q87" i="15"/>
  <c r="Y87" i="15" s="1"/>
  <c r="T87" i="15"/>
  <c r="U87" i="15"/>
  <c r="Y88" i="15" l="1"/>
  <c r="Y89" i="15"/>
  <c r="Y90" i="15"/>
  <c r="W89" i="15"/>
  <c r="W90" i="15"/>
  <c r="V90" i="15"/>
  <c r="W88" i="15"/>
  <c r="V88" i="15"/>
  <c r="V87" i="15"/>
  <c r="V89" i="15"/>
  <c r="X87" i="15"/>
  <c r="W87" i="15"/>
  <c r="B143" i="15"/>
  <c r="E143" i="15"/>
  <c r="G143" i="15"/>
  <c r="J143" i="15"/>
  <c r="Q143" i="15"/>
  <c r="X143" i="15" s="1"/>
  <c r="T143" i="15"/>
  <c r="U143" i="15"/>
  <c r="Y143" i="15" l="1"/>
  <c r="W143" i="15"/>
  <c r="V143" i="15"/>
  <c r="B542" i="15"/>
  <c r="E542" i="15"/>
  <c r="G542" i="15"/>
  <c r="J542" i="15"/>
  <c r="Q542" i="15"/>
  <c r="X542" i="15" s="1"/>
  <c r="T542" i="15"/>
  <c r="U542" i="15"/>
  <c r="Y542" i="15"/>
  <c r="V542" i="15" l="1"/>
  <c r="W542" i="15" s="1"/>
  <c r="B132" i="15"/>
  <c r="E132" i="15"/>
  <c r="G132" i="15"/>
  <c r="J132" i="15"/>
  <c r="Q132" i="15"/>
  <c r="T132" i="15"/>
  <c r="U132" i="15"/>
  <c r="B131" i="15"/>
  <c r="E131" i="15"/>
  <c r="G131" i="15"/>
  <c r="J131" i="15"/>
  <c r="Q131" i="15"/>
  <c r="T131" i="15"/>
  <c r="U131" i="15"/>
  <c r="Y131" i="15"/>
  <c r="X132" i="15" l="1"/>
  <c r="X131" i="15"/>
  <c r="Y132" i="15"/>
  <c r="V132" i="15"/>
  <c r="W131" i="15"/>
  <c r="W132" i="15"/>
  <c r="V131" i="15"/>
  <c r="B174" i="15"/>
  <c r="E174" i="15"/>
  <c r="G174" i="15"/>
  <c r="J174" i="15"/>
  <c r="Q174" i="15"/>
  <c r="T174" i="15"/>
  <c r="U174" i="15"/>
  <c r="X174" i="15"/>
  <c r="Y174" i="15"/>
  <c r="B173" i="15"/>
  <c r="E173" i="15"/>
  <c r="G173" i="15"/>
  <c r="J173" i="15"/>
  <c r="Q173" i="15"/>
  <c r="T173" i="15"/>
  <c r="U173" i="15"/>
  <c r="X173" i="15"/>
  <c r="Y173" i="15"/>
  <c r="V173" i="15" l="1"/>
  <c r="W173" i="15" s="1"/>
  <c r="V174" i="15"/>
  <c r="W174" i="15" s="1"/>
  <c r="B86" i="15" l="1"/>
  <c r="E86" i="15"/>
  <c r="G86" i="15"/>
  <c r="J86" i="15"/>
  <c r="Q86" i="15"/>
  <c r="T86" i="15"/>
  <c r="U86" i="15"/>
  <c r="Y86" i="15"/>
  <c r="B85" i="15"/>
  <c r="E85" i="15"/>
  <c r="G85" i="15"/>
  <c r="J85" i="15"/>
  <c r="Q85" i="15"/>
  <c r="T85" i="15"/>
  <c r="U85" i="15"/>
  <c r="Y85" i="15"/>
  <c r="V85" i="15" l="1"/>
  <c r="X86" i="15"/>
  <c r="X85" i="15"/>
  <c r="W85" i="15"/>
  <c r="V86" i="15"/>
  <c r="W86" i="15"/>
  <c r="B516" i="15"/>
  <c r="E516" i="15"/>
  <c r="G516" i="15"/>
  <c r="J516" i="15"/>
  <c r="Q516" i="15"/>
  <c r="T516" i="15"/>
  <c r="U516" i="15"/>
  <c r="Y516" i="15"/>
  <c r="X516" i="15" l="1"/>
  <c r="W516" i="15"/>
  <c r="V516" i="15"/>
  <c r="B74" i="15" l="1"/>
  <c r="E74" i="15"/>
  <c r="G74" i="15"/>
  <c r="J74" i="15"/>
  <c r="Q74" i="15"/>
  <c r="Y74" i="15" s="1"/>
  <c r="T74" i="15"/>
  <c r="U74" i="15"/>
  <c r="B73" i="15"/>
  <c r="E73" i="15"/>
  <c r="G73" i="15"/>
  <c r="J73" i="15"/>
  <c r="Q73" i="15"/>
  <c r="Y73" i="15" s="1"/>
  <c r="T73" i="15"/>
  <c r="U73" i="15"/>
  <c r="B72" i="15"/>
  <c r="E72" i="15"/>
  <c r="G72" i="15"/>
  <c r="J72" i="15"/>
  <c r="Q72" i="15"/>
  <c r="Y72" i="15" s="1"/>
  <c r="T72" i="15"/>
  <c r="U72" i="15"/>
  <c r="W74" i="15" l="1"/>
  <c r="X74" i="15"/>
  <c r="X72" i="15"/>
  <c r="V74" i="15"/>
  <c r="V72" i="15"/>
  <c r="V73" i="15"/>
  <c r="W72" i="15"/>
  <c r="W73" i="15"/>
  <c r="X73" i="15"/>
  <c r="B242" i="15"/>
  <c r="E242" i="15"/>
  <c r="G242" i="15"/>
  <c r="J242" i="15"/>
  <c r="Q242" i="15"/>
  <c r="X242" i="15" s="1"/>
  <c r="T242" i="15"/>
  <c r="U242" i="15"/>
  <c r="Y242" i="15"/>
  <c r="W242" i="15" l="1"/>
  <c r="V242" i="15"/>
  <c r="B84" i="15"/>
  <c r="E84" i="15"/>
  <c r="G84" i="15"/>
  <c r="J84" i="15"/>
  <c r="Q84" i="15"/>
  <c r="Y84" i="15" s="1"/>
  <c r="T84" i="15"/>
  <c r="U84" i="15"/>
  <c r="B83" i="15"/>
  <c r="E83" i="15"/>
  <c r="G83" i="15"/>
  <c r="J83" i="15"/>
  <c r="Q83" i="15"/>
  <c r="Y83" i="15" s="1"/>
  <c r="T83" i="15"/>
  <c r="U83" i="15"/>
  <c r="B82" i="15"/>
  <c r="E82" i="15"/>
  <c r="G82" i="15"/>
  <c r="J82" i="15"/>
  <c r="Q82" i="15"/>
  <c r="Y82" i="15" s="1"/>
  <c r="T82" i="15"/>
  <c r="U82" i="15"/>
  <c r="B81" i="15"/>
  <c r="E81" i="15"/>
  <c r="G81" i="15"/>
  <c r="J81" i="15"/>
  <c r="Q81" i="15"/>
  <c r="Y81" i="15" s="1"/>
  <c r="T81" i="15"/>
  <c r="U81" i="15"/>
  <c r="V81" i="15" l="1"/>
  <c r="X81" i="15"/>
  <c r="X82" i="15"/>
  <c r="V82" i="15"/>
  <c r="V84" i="15"/>
  <c r="W81" i="15"/>
  <c r="W84" i="15"/>
  <c r="V83" i="15"/>
  <c r="W83" i="15"/>
  <c r="X84" i="15"/>
  <c r="X83" i="15"/>
  <c r="W82" i="15"/>
  <c r="B417" i="15" l="1"/>
  <c r="E417" i="15"/>
  <c r="G417" i="15"/>
  <c r="J417" i="15"/>
  <c r="Q417" i="15"/>
  <c r="T417" i="15"/>
  <c r="U417" i="15"/>
  <c r="Y417" i="15"/>
  <c r="B416" i="15"/>
  <c r="E416" i="15"/>
  <c r="G416" i="15"/>
  <c r="J416" i="15"/>
  <c r="Q416" i="15"/>
  <c r="X416" i="15" s="1"/>
  <c r="T416" i="15"/>
  <c r="U416" i="15"/>
  <c r="Y416" i="15"/>
  <c r="B412" i="15"/>
  <c r="E412" i="15"/>
  <c r="G412" i="15"/>
  <c r="J412" i="15"/>
  <c r="Q412" i="15"/>
  <c r="X412" i="15" s="1"/>
  <c r="T412" i="15"/>
  <c r="U412" i="15"/>
  <c r="Y412" i="15"/>
  <c r="B421" i="15"/>
  <c r="E421" i="15"/>
  <c r="G421" i="15"/>
  <c r="J421" i="15"/>
  <c r="Q421" i="15"/>
  <c r="X421" i="15" s="1"/>
  <c r="T421" i="15"/>
  <c r="U421" i="15"/>
  <c r="Y421" i="15"/>
  <c r="B420" i="15"/>
  <c r="E420" i="15"/>
  <c r="G420" i="15"/>
  <c r="J420" i="15"/>
  <c r="Q420" i="15"/>
  <c r="X420" i="15" s="1"/>
  <c r="T420" i="15"/>
  <c r="U420" i="15"/>
  <c r="Y420" i="15"/>
  <c r="B419" i="15"/>
  <c r="E419" i="15"/>
  <c r="G419" i="15"/>
  <c r="J419" i="15"/>
  <c r="Q419" i="15"/>
  <c r="T419" i="15"/>
  <c r="U419" i="15"/>
  <c r="Y419" i="15"/>
  <c r="B415" i="15"/>
  <c r="E415" i="15"/>
  <c r="G415" i="15"/>
  <c r="J415" i="15"/>
  <c r="Q415" i="15"/>
  <c r="T415" i="15"/>
  <c r="U415" i="15"/>
  <c r="Y415" i="15"/>
  <c r="W416" i="15" l="1"/>
  <c r="V421" i="15"/>
  <c r="V417" i="15"/>
  <c r="X419" i="15"/>
  <c r="X415" i="15"/>
  <c r="W417" i="15"/>
  <c r="V416" i="15"/>
  <c r="W412" i="15"/>
  <c r="V419" i="15"/>
  <c r="W420" i="15"/>
  <c r="W421" i="15"/>
  <c r="X417" i="15"/>
  <c r="W419" i="15"/>
  <c r="V412" i="15"/>
  <c r="V420" i="15"/>
  <c r="W415" i="15"/>
  <c r="V415" i="15"/>
  <c r="B490" i="15"/>
  <c r="E490" i="15"/>
  <c r="G490" i="15"/>
  <c r="J490" i="15"/>
  <c r="Q490" i="15"/>
  <c r="X490" i="15" s="1"/>
  <c r="T490" i="15"/>
  <c r="U490" i="15"/>
  <c r="Y490" i="15"/>
  <c r="B491" i="15"/>
  <c r="E491" i="15"/>
  <c r="G491" i="15"/>
  <c r="J491" i="15"/>
  <c r="Q491" i="15"/>
  <c r="X491" i="15" s="1"/>
  <c r="T491" i="15"/>
  <c r="U491" i="15"/>
  <c r="Y491" i="15"/>
  <c r="V490" i="15" l="1"/>
  <c r="W490" i="15"/>
  <c r="W491" i="15"/>
  <c r="V491" i="15"/>
  <c r="B184" i="15"/>
  <c r="E184" i="15"/>
  <c r="G184" i="15"/>
  <c r="J184" i="15"/>
  <c r="Q184" i="15"/>
  <c r="T184" i="15"/>
  <c r="U184" i="15"/>
  <c r="X184" i="15"/>
  <c r="Y184" i="15"/>
  <c r="V184" i="15" l="1"/>
  <c r="W184" i="15" s="1"/>
  <c r="B549" i="15"/>
  <c r="E549" i="15"/>
  <c r="G549" i="15"/>
  <c r="J549" i="15"/>
  <c r="Q549" i="15"/>
  <c r="T549" i="15"/>
  <c r="U549" i="15"/>
  <c r="X549" i="15"/>
  <c r="Y549" i="15"/>
  <c r="V549" i="15" l="1"/>
  <c r="W549" i="15" s="1"/>
  <c r="B130" i="15" l="1"/>
  <c r="E130" i="15"/>
  <c r="G130" i="15"/>
  <c r="J130" i="15"/>
  <c r="Q130" i="15"/>
  <c r="X130" i="15" s="1"/>
  <c r="T130" i="15"/>
  <c r="U130" i="15"/>
  <c r="Y130" i="15"/>
  <c r="V130" i="15" l="1"/>
  <c r="W130" i="15"/>
  <c r="B172" i="15"/>
  <c r="E172" i="15"/>
  <c r="G172" i="15"/>
  <c r="J172" i="15"/>
  <c r="Q172" i="15"/>
  <c r="T172" i="15"/>
  <c r="U172" i="15"/>
  <c r="X172" i="15"/>
  <c r="Y172" i="15"/>
  <c r="B171" i="15"/>
  <c r="E171" i="15"/>
  <c r="G171" i="15"/>
  <c r="J171" i="15"/>
  <c r="Q171" i="15"/>
  <c r="T171" i="15"/>
  <c r="U171" i="15"/>
  <c r="X171" i="15"/>
  <c r="Y171" i="15"/>
  <c r="B170" i="15"/>
  <c r="E170" i="15"/>
  <c r="G170" i="15"/>
  <c r="J170" i="15"/>
  <c r="Q170" i="15"/>
  <c r="T170" i="15"/>
  <c r="U170" i="15"/>
  <c r="X170" i="15"/>
  <c r="Y170" i="15"/>
  <c r="V171" i="15" l="1"/>
  <c r="W171" i="15" s="1"/>
  <c r="V172" i="15"/>
  <c r="W172" i="15" s="1"/>
  <c r="V170" i="15"/>
  <c r="W170" i="15" s="1"/>
  <c r="B183" i="15" l="1"/>
  <c r="E183" i="15"/>
  <c r="G183" i="15"/>
  <c r="J183" i="15"/>
  <c r="Q183" i="15"/>
  <c r="T183" i="15"/>
  <c r="U183" i="15"/>
  <c r="X183" i="15"/>
  <c r="Y183" i="15"/>
  <c r="B182" i="15"/>
  <c r="E182" i="15"/>
  <c r="G182" i="15"/>
  <c r="J182" i="15"/>
  <c r="Q182" i="15"/>
  <c r="T182" i="15"/>
  <c r="U182" i="15"/>
  <c r="X182" i="15"/>
  <c r="Y182" i="15"/>
  <c r="B181" i="15"/>
  <c r="E181" i="15"/>
  <c r="G181" i="15"/>
  <c r="J181" i="15"/>
  <c r="Q181" i="15"/>
  <c r="T181" i="15"/>
  <c r="U181" i="15"/>
  <c r="X181" i="15"/>
  <c r="Y181" i="15"/>
  <c r="B180" i="15"/>
  <c r="E180" i="15"/>
  <c r="G180" i="15"/>
  <c r="J180" i="15"/>
  <c r="Q180" i="15"/>
  <c r="T180" i="15"/>
  <c r="U180" i="15"/>
  <c r="X180" i="15"/>
  <c r="Y180" i="15"/>
  <c r="B179" i="15"/>
  <c r="E179" i="15"/>
  <c r="G179" i="15"/>
  <c r="J179" i="15"/>
  <c r="Q179" i="15"/>
  <c r="T179" i="15"/>
  <c r="U179" i="15"/>
  <c r="X179" i="15"/>
  <c r="Y179" i="15"/>
  <c r="E65" i="15"/>
  <c r="E64" i="15"/>
  <c r="E63" i="15"/>
  <c r="E62" i="15"/>
  <c r="V183" i="15" l="1"/>
  <c r="W183" i="15" s="1"/>
  <c r="V182" i="15"/>
  <c r="W182" i="15" s="1"/>
  <c r="V181" i="15"/>
  <c r="W181" i="15" s="1"/>
  <c r="V180" i="15"/>
  <c r="W180" i="15" s="1"/>
  <c r="V179" i="15"/>
  <c r="W179" i="15" s="1"/>
  <c r="B261" i="15"/>
  <c r="E261" i="15"/>
  <c r="G261" i="15"/>
  <c r="J261" i="15"/>
  <c r="Q261" i="15"/>
  <c r="T261" i="15"/>
  <c r="U261" i="15"/>
  <c r="Y261" i="15"/>
  <c r="B260" i="15"/>
  <c r="E260" i="15"/>
  <c r="G260" i="15"/>
  <c r="J260" i="15"/>
  <c r="Q260" i="15"/>
  <c r="X260" i="15" s="1"/>
  <c r="T260" i="15"/>
  <c r="U260" i="15"/>
  <c r="Y260" i="15"/>
  <c r="W260" i="15" l="1"/>
  <c r="V261" i="15"/>
  <c r="X261" i="15"/>
  <c r="W261" i="15"/>
  <c r="V260" i="15"/>
  <c r="B241" i="15"/>
  <c r="E241" i="15"/>
  <c r="G241" i="15"/>
  <c r="J241" i="15"/>
  <c r="Q241" i="15"/>
  <c r="X241" i="15" s="1"/>
  <c r="T241" i="15"/>
  <c r="U241" i="15"/>
  <c r="Y241" i="15"/>
  <c r="B239" i="15"/>
  <c r="E239" i="15"/>
  <c r="G239" i="15"/>
  <c r="J239" i="15"/>
  <c r="Q239" i="15"/>
  <c r="X239" i="15" s="1"/>
  <c r="T239" i="15"/>
  <c r="U239" i="15"/>
  <c r="Y239" i="15"/>
  <c r="V239" i="15" l="1"/>
  <c r="W239" i="15"/>
  <c r="V241" i="15"/>
  <c r="W241" i="15"/>
  <c r="B103" i="15"/>
  <c r="E103" i="15"/>
  <c r="G103" i="15"/>
  <c r="J103" i="15"/>
  <c r="Q103" i="15"/>
  <c r="X103" i="15" s="1"/>
  <c r="T103" i="15"/>
  <c r="U103" i="15"/>
  <c r="B102" i="15"/>
  <c r="E102" i="15"/>
  <c r="G102" i="15"/>
  <c r="J102" i="15"/>
  <c r="Q102" i="15"/>
  <c r="X102" i="15" s="1"/>
  <c r="T102" i="15"/>
  <c r="U102" i="15"/>
  <c r="Y102" i="15" l="1"/>
  <c r="Y103" i="15"/>
  <c r="W103" i="15"/>
  <c r="V103" i="15"/>
  <c r="W102" i="15"/>
  <c r="V102" i="15"/>
  <c r="B115" i="15" l="1"/>
  <c r="E115" i="15"/>
  <c r="G115" i="15"/>
  <c r="J115" i="15"/>
  <c r="Q115" i="15"/>
  <c r="T115" i="15"/>
  <c r="U115" i="15"/>
  <c r="Y115" i="15"/>
  <c r="B285" i="15"/>
  <c r="E285" i="15"/>
  <c r="G285" i="15"/>
  <c r="J285" i="15"/>
  <c r="Q285" i="15"/>
  <c r="X285" i="15" s="1"/>
  <c r="T285" i="15"/>
  <c r="U285" i="15"/>
  <c r="Y285" i="15"/>
  <c r="B286" i="15"/>
  <c r="E286" i="15"/>
  <c r="G286" i="15"/>
  <c r="J286" i="15"/>
  <c r="Q286" i="15"/>
  <c r="T286" i="15"/>
  <c r="U286" i="15"/>
  <c r="Y286" i="15"/>
  <c r="X286" i="15" l="1"/>
  <c r="W285" i="15"/>
  <c r="V285" i="15"/>
  <c r="W115" i="15"/>
  <c r="X115" i="15"/>
  <c r="V115" i="15"/>
  <c r="W286" i="15"/>
  <c r="V286" i="15"/>
  <c r="B116" i="15" l="1"/>
  <c r="E116" i="15"/>
  <c r="G116" i="15"/>
  <c r="J116" i="15"/>
  <c r="Q116" i="15"/>
  <c r="X116" i="15" s="1"/>
  <c r="T116" i="15"/>
  <c r="U116" i="15"/>
  <c r="Y116" i="15"/>
  <c r="W116" i="15" l="1"/>
  <c r="V116" i="15"/>
  <c r="B71" i="15"/>
  <c r="E71" i="15"/>
  <c r="G71" i="15"/>
  <c r="J71" i="15"/>
  <c r="Q71" i="15"/>
  <c r="Y71" i="15" s="1"/>
  <c r="T71" i="15"/>
  <c r="U71" i="15"/>
  <c r="B70" i="15"/>
  <c r="E70" i="15"/>
  <c r="G70" i="15"/>
  <c r="J70" i="15"/>
  <c r="Q70" i="15"/>
  <c r="Y70" i="15" s="1"/>
  <c r="T70" i="15"/>
  <c r="U70" i="15"/>
  <c r="X70" i="15" l="1"/>
  <c r="V70" i="15"/>
  <c r="W71" i="15"/>
  <c r="W70" i="15"/>
  <c r="X71" i="15"/>
  <c r="V71" i="15"/>
  <c r="B80" i="15" l="1"/>
  <c r="E80" i="15"/>
  <c r="G80" i="15"/>
  <c r="J80" i="15"/>
  <c r="Q80" i="15"/>
  <c r="X80" i="15" s="1"/>
  <c r="T80" i="15"/>
  <c r="U80" i="15"/>
  <c r="B79" i="15"/>
  <c r="E79" i="15"/>
  <c r="G79" i="15"/>
  <c r="J79" i="15"/>
  <c r="Q79" i="15"/>
  <c r="Y79" i="15" s="1"/>
  <c r="T79" i="15"/>
  <c r="U79" i="15"/>
  <c r="B78" i="15"/>
  <c r="E78" i="15"/>
  <c r="G78" i="15"/>
  <c r="J78" i="15"/>
  <c r="Q78" i="15"/>
  <c r="Y78" i="15" s="1"/>
  <c r="T78" i="15"/>
  <c r="U78" i="15"/>
  <c r="Y80" i="15" l="1"/>
  <c r="V78" i="15"/>
  <c r="X78" i="15"/>
  <c r="X79" i="15"/>
  <c r="V80" i="15"/>
  <c r="V79" i="15"/>
  <c r="W78" i="15"/>
  <c r="W80" i="15"/>
  <c r="W79" i="15"/>
  <c r="B64" i="15" l="1"/>
  <c r="G64" i="15"/>
  <c r="J64" i="15"/>
  <c r="Q64" i="15"/>
  <c r="Y64" i="15" s="1"/>
  <c r="T64" i="15"/>
  <c r="U64" i="15"/>
  <c r="X64" i="15"/>
  <c r="V64" i="15" l="1"/>
  <c r="W64" i="15"/>
  <c r="B63" i="15"/>
  <c r="G63" i="15"/>
  <c r="J63" i="15"/>
  <c r="Q63" i="15"/>
  <c r="X63" i="15" s="1"/>
  <c r="T63" i="15"/>
  <c r="U63" i="15"/>
  <c r="B62" i="15"/>
  <c r="G62" i="15"/>
  <c r="J62" i="15"/>
  <c r="Q62" i="15"/>
  <c r="T62" i="15"/>
  <c r="U62" i="15"/>
  <c r="X62" i="15" l="1"/>
  <c r="W62" i="15"/>
  <c r="Y63" i="15"/>
  <c r="Y62" i="15"/>
  <c r="V63" i="15"/>
  <c r="V62" i="15"/>
  <c r="W63" i="15"/>
  <c r="B66" i="15"/>
  <c r="E66" i="15"/>
  <c r="G66" i="15"/>
  <c r="J66" i="15"/>
  <c r="Q66" i="15"/>
  <c r="Y66" i="15" s="1"/>
  <c r="T66" i="15"/>
  <c r="U66" i="15"/>
  <c r="X66" i="15"/>
  <c r="V66" i="15" l="1"/>
  <c r="W66" i="15"/>
  <c r="B61" i="15"/>
  <c r="E61" i="15"/>
  <c r="G61" i="15"/>
  <c r="J61" i="15"/>
  <c r="Q61" i="15"/>
  <c r="T61" i="15"/>
  <c r="U61" i="15"/>
  <c r="B60" i="15"/>
  <c r="E60" i="15"/>
  <c r="G60" i="15"/>
  <c r="J60" i="15"/>
  <c r="Q60" i="15"/>
  <c r="Y60" i="15" s="1"/>
  <c r="T60" i="15"/>
  <c r="U60" i="15"/>
  <c r="X61" i="15" l="1"/>
  <c r="X60" i="15"/>
  <c r="Y61" i="15"/>
  <c r="W61" i="15"/>
  <c r="V60" i="15"/>
  <c r="W60" i="15"/>
  <c r="V61" i="15"/>
  <c r="B410" i="15" l="1"/>
  <c r="E410" i="15"/>
  <c r="G410" i="15"/>
  <c r="J410" i="15"/>
  <c r="Q410" i="15"/>
  <c r="X410" i="15" s="1"/>
  <c r="T410" i="15"/>
  <c r="U410" i="15"/>
  <c r="Y410" i="15"/>
  <c r="B409" i="15"/>
  <c r="E409" i="15"/>
  <c r="G409" i="15"/>
  <c r="J409" i="15"/>
  <c r="Q409" i="15"/>
  <c r="X409" i="15" s="1"/>
  <c r="T409" i="15"/>
  <c r="U409" i="15"/>
  <c r="Y409" i="15"/>
  <c r="B408" i="15"/>
  <c r="E408" i="15"/>
  <c r="G408" i="15"/>
  <c r="J408" i="15"/>
  <c r="Q408" i="15"/>
  <c r="X408" i="15" s="1"/>
  <c r="T408" i="15"/>
  <c r="U408" i="15"/>
  <c r="Y408" i="15"/>
  <c r="B406" i="15"/>
  <c r="E406" i="15"/>
  <c r="G406" i="15"/>
  <c r="J406" i="15"/>
  <c r="Q406" i="15"/>
  <c r="X406" i="15" s="1"/>
  <c r="T406" i="15"/>
  <c r="U406" i="15"/>
  <c r="Y406" i="15"/>
  <c r="B405" i="15"/>
  <c r="E405" i="15"/>
  <c r="G405" i="15"/>
  <c r="J405" i="15"/>
  <c r="Q405" i="15"/>
  <c r="X405" i="15" s="1"/>
  <c r="T405" i="15"/>
  <c r="U405" i="15"/>
  <c r="Y405" i="15"/>
  <c r="B404" i="15"/>
  <c r="E404" i="15"/>
  <c r="G404" i="15"/>
  <c r="J404" i="15"/>
  <c r="Q404" i="15"/>
  <c r="X404" i="15" s="1"/>
  <c r="T404" i="15"/>
  <c r="U404" i="15"/>
  <c r="Y404" i="15"/>
  <c r="B401" i="15"/>
  <c r="E401" i="15"/>
  <c r="G401" i="15"/>
  <c r="J401" i="15"/>
  <c r="Q401" i="15"/>
  <c r="T401" i="15"/>
  <c r="U401" i="15"/>
  <c r="Y401" i="15"/>
  <c r="B400" i="15"/>
  <c r="E400" i="15"/>
  <c r="G400" i="15"/>
  <c r="J400" i="15"/>
  <c r="Q400" i="15"/>
  <c r="X400" i="15" s="1"/>
  <c r="T400" i="15"/>
  <c r="U400" i="15"/>
  <c r="Y400" i="15"/>
  <c r="B395" i="15"/>
  <c r="E395" i="15"/>
  <c r="G395" i="15"/>
  <c r="J395" i="15"/>
  <c r="Q395" i="15"/>
  <c r="X395" i="15" s="1"/>
  <c r="T395" i="15"/>
  <c r="U395" i="15"/>
  <c r="Y395" i="15"/>
  <c r="B394" i="15"/>
  <c r="E394" i="15"/>
  <c r="G394" i="15"/>
  <c r="J394" i="15"/>
  <c r="Q394" i="15"/>
  <c r="X394" i="15" s="1"/>
  <c r="T394" i="15"/>
  <c r="U394" i="15"/>
  <c r="Y394" i="15"/>
  <c r="B391" i="15"/>
  <c r="E391" i="15"/>
  <c r="G391" i="15"/>
  <c r="J391" i="15"/>
  <c r="Q391" i="15"/>
  <c r="T391" i="15"/>
  <c r="U391" i="15"/>
  <c r="Y391" i="15"/>
  <c r="B388" i="15"/>
  <c r="E388" i="15"/>
  <c r="G388" i="15"/>
  <c r="J388" i="15"/>
  <c r="Q388" i="15"/>
  <c r="T388" i="15"/>
  <c r="U388" i="15"/>
  <c r="Y388" i="15"/>
  <c r="B387" i="15"/>
  <c r="E387" i="15"/>
  <c r="G387" i="15"/>
  <c r="J387" i="15"/>
  <c r="Q387" i="15"/>
  <c r="X387" i="15" s="1"/>
  <c r="T387" i="15"/>
  <c r="U387" i="15"/>
  <c r="Y387" i="15"/>
  <c r="B386" i="15"/>
  <c r="E386" i="15"/>
  <c r="G386" i="15"/>
  <c r="J386" i="15"/>
  <c r="Q386" i="15"/>
  <c r="X386" i="15" s="1"/>
  <c r="T386" i="15"/>
  <c r="U386" i="15"/>
  <c r="Y386" i="15"/>
  <c r="B385" i="15"/>
  <c r="E385" i="15"/>
  <c r="G385" i="15"/>
  <c r="J385" i="15"/>
  <c r="Q385" i="15"/>
  <c r="X385" i="15" s="1"/>
  <c r="T385" i="15"/>
  <c r="U385" i="15"/>
  <c r="Y385" i="15"/>
  <c r="B411" i="15"/>
  <c r="E411" i="15"/>
  <c r="G411" i="15"/>
  <c r="J411" i="15"/>
  <c r="Q411" i="15"/>
  <c r="T411" i="15"/>
  <c r="U411" i="15"/>
  <c r="Y411" i="15"/>
  <c r="B403" i="15"/>
  <c r="E403" i="15"/>
  <c r="G403" i="15"/>
  <c r="J403" i="15"/>
  <c r="Q403" i="15"/>
  <c r="T403" i="15"/>
  <c r="U403" i="15"/>
  <c r="Y403" i="15"/>
  <c r="B399" i="15"/>
  <c r="E399" i="15"/>
  <c r="G399" i="15"/>
  <c r="J399" i="15"/>
  <c r="Q399" i="15"/>
  <c r="T399" i="15"/>
  <c r="U399" i="15"/>
  <c r="Y399" i="15"/>
  <c r="B398" i="15"/>
  <c r="E398" i="15"/>
  <c r="G398" i="15"/>
  <c r="J398" i="15"/>
  <c r="Q398" i="15"/>
  <c r="T398" i="15"/>
  <c r="U398" i="15"/>
  <c r="Y398" i="15"/>
  <c r="B331" i="15"/>
  <c r="E331" i="15"/>
  <c r="G331" i="15"/>
  <c r="J331" i="15"/>
  <c r="Q331" i="15"/>
  <c r="T331" i="15"/>
  <c r="U331" i="15"/>
  <c r="Y331" i="15"/>
  <c r="B407" i="15"/>
  <c r="E407" i="15"/>
  <c r="G407" i="15"/>
  <c r="J407" i="15"/>
  <c r="Q407" i="15"/>
  <c r="T407" i="15"/>
  <c r="U407" i="15"/>
  <c r="Y407" i="15"/>
  <c r="B402" i="15"/>
  <c r="E402" i="15"/>
  <c r="G402" i="15"/>
  <c r="J402" i="15"/>
  <c r="Q402" i="15"/>
  <c r="T402" i="15"/>
  <c r="U402" i="15"/>
  <c r="Y402" i="15"/>
  <c r="X411" i="15" l="1"/>
  <c r="X398" i="15"/>
  <c r="X403" i="15"/>
  <c r="W409" i="15"/>
  <c r="X407" i="15"/>
  <c r="X402" i="15"/>
  <c r="V410" i="15"/>
  <c r="V409" i="15"/>
  <c r="W410" i="15"/>
  <c r="V406" i="15"/>
  <c r="W408" i="15"/>
  <c r="W405" i="15"/>
  <c r="W406" i="15"/>
  <c r="V408" i="15"/>
  <c r="V405" i="15"/>
  <c r="W391" i="15"/>
  <c r="V394" i="15"/>
  <c r="V404" i="15"/>
  <c r="W404" i="15"/>
  <c r="V401" i="15"/>
  <c r="W400" i="15"/>
  <c r="V395" i="15"/>
  <c r="V400" i="15"/>
  <c r="W395" i="15"/>
  <c r="W394" i="15"/>
  <c r="W401" i="15"/>
  <c r="X401" i="15"/>
  <c r="V388" i="15"/>
  <c r="V387" i="15"/>
  <c r="V386" i="15"/>
  <c r="V391" i="15"/>
  <c r="W411" i="15"/>
  <c r="W386" i="15"/>
  <c r="W388" i="15"/>
  <c r="V411" i="15"/>
  <c r="X391" i="15"/>
  <c r="X388" i="15"/>
  <c r="W385" i="15"/>
  <c r="W403" i="15"/>
  <c r="V385" i="15"/>
  <c r="V399" i="15"/>
  <c r="W387" i="15"/>
  <c r="V403" i="15"/>
  <c r="W331" i="15"/>
  <c r="W399" i="15"/>
  <c r="X399" i="15"/>
  <c r="X331" i="15"/>
  <c r="V398" i="15"/>
  <c r="V331" i="15"/>
  <c r="W398" i="15"/>
  <c r="W407" i="15"/>
  <c r="W402" i="15"/>
  <c r="V407" i="15"/>
  <c r="V402" i="15"/>
  <c r="B546" i="15" l="1"/>
  <c r="E546" i="15"/>
  <c r="G546" i="15"/>
  <c r="J546" i="15"/>
  <c r="Q546" i="15"/>
  <c r="T546" i="15"/>
  <c r="U546" i="15"/>
  <c r="X546" i="15"/>
  <c r="Y546" i="15"/>
  <c r="B548" i="15"/>
  <c r="E548" i="15"/>
  <c r="G548" i="15"/>
  <c r="J548" i="15"/>
  <c r="Q548" i="15"/>
  <c r="T548" i="15"/>
  <c r="U548" i="15"/>
  <c r="X548" i="15"/>
  <c r="Y548" i="15"/>
  <c r="B547" i="15"/>
  <c r="E547" i="15"/>
  <c r="G547" i="15"/>
  <c r="J547" i="15"/>
  <c r="Q547" i="15"/>
  <c r="T547" i="15"/>
  <c r="U547" i="15"/>
  <c r="X547" i="15"/>
  <c r="Y547" i="15"/>
  <c r="V546" i="15" l="1"/>
  <c r="W546" i="15" s="1"/>
  <c r="V548" i="15"/>
  <c r="W548" i="15" s="1"/>
  <c r="V547" i="15"/>
  <c r="W547" i="15" s="1"/>
  <c r="B59" i="15" l="1"/>
  <c r="E59" i="15"/>
  <c r="G59" i="15"/>
  <c r="J59" i="15"/>
  <c r="Q59" i="15"/>
  <c r="T59" i="15"/>
  <c r="U59" i="15"/>
  <c r="B58" i="15"/>
  <c r="E58" i="15"/>
  <c r="G58" i="15"/>
  <c r="J58" i="15"/>
  <c r="Q58" i="15"/>
  <c r="T58" i="15"/>
  <c r="U58" i="15"/>
  <c r="B57" i="15"/>
  <c r="E57" i="15"/>
  <c r="G57" i="15"/>
  <c r="J57" i="15"/>
  <c r="Q57" i="15"/>
  <c r="T57" i="15"/>
  <c r="U57" i="15"/>
  <c r="B56" i="15"/>
  <c r="E56" i="15"/>
  <c r="G56" i="15"/>
  <c r="J56" i="15"/>
  <c r="Q56" i="15"/>
  <c r="T56" i="15"/>
  <c r="U56" i="15"/>
  <c r="B55" i="15"/>
  <c r="E55" i="15"/>
  <c r="G55" i="15"/>
  <c r="J55" i="15"/>
  <c r="Q55" i="15"/>
  <c r="T55" i="15"/>
  <c r="U55" i="15"/>
  <c r="B54" i="15"/>
  <c r="E54" i="15"/>
  <c r="G54" i="15"/>
  <c r="J54" i="15"/>
  <c r="Q54" i="15"/>
  <c r="T54" i="15"/>
  <c r="U54" i="15"/>
  <c r="X55" i="15" l="1"/>
  <c r="X54" i="15"/>
  <c r="Y59" i="15"/>
  <c r="X58" i="15"/>
  <c r="X57" i="15"/>
  <c r="X56" i="15"/>
  <c r="Y54" i="15"/>
  <c r="Y57" i="15"/>
  <c r="Y58" i="15"/>
  <c r="Y55" i="15"/>
  <c r="Y56" i="15"/>
  <c r="V59" i="15"/>
  <c r="W59" i="15"/>
  <c r="X59" i="15"/>
  <c r="W58" i="15"/>
  <c r="V58" i="15"/>
  <c r="W57" i="15"/>
  <c r="V57" i="15"/>
  <c r="W55" i="15"/>
  <c r="V55" i="15"/>
  <c r="W54" i="15"/>
  <c r="W56" i="15"/>
  <c r="V56" i="15"/>
  <c r="V54" i="15"/>
  <c r="B150" i="15"/>
  <c r="E150" i="15"/>
  <c r="G150" i="15"/>
  <c r="J150" i="15"/>
  <c r="Q150" i="15"/>
  <c r="T150" i="15"/>
  <c r="U150" i="15"/>
  <c r="X150" i="15"/>
  <c r="Y150" i="15"/>
  <c r="B178" i="15"/>
  <c r="E178" i="15"/>
  <c r="G178" i="15"/>
  <c r="J178" i="15"/>
  <c r="Q178" i="15"/>
  <c r="T178" i="15"/>
  <c r="U178" i="15"/>
  <c r="X178" i="15"/>
  <c r="Y178" i="15"/>
  <c r="B160" i="15"/>
  <c r="E160" i="15"/>
  <c r="G160" i="15"/>
  <c r="J160" i="15"/>
  <c r="Q160" i="15"/>
  <c r="T160" i="15"/>
  <c r="U160" i="15"/>
  <c r="X160" i="15"/>
  <c r="Y160" i="15"/>
  <c r="B159" i="15"/>
  <c r="E159" i="15"/>
  <c r="G159" i="15"/>
  <c r="J159" i="15"/>
  <c r="Q159" i="15"/>
  <c r="T159" i="15"/>
  <c r="U159" i="15"/>
  <c r="X159" i="15"/>
  <c r="Y159" i="15"/>
  <c r="V150" i="15" l="1"/>
  <c r="W150" i="15" s="1"/>
  <c r="V160" i="15"/>
  <c r="W160" i="15" s="1"/>
  <c r="V178" i="15"/>
  <c r="W178" i="15" s="1"/>
  <c r="V159" i="15"/>
  <c r="W159" i="15" s="1"/>
  <c r="I2" i="19" l="1"/>
  <c r="B77" i="15" l="1"/>
  <c r="E77" i="15"/>
  <c r="G77" i="15"/>
  <c r="J77" i="15"/>
  <c r="Q77" i="15"/>
  <c r="T77" i="15"/>
  <c r="U77" i="15"/>
  <c r="Y77" i="15"/>
  <c r="B76" i="15"/>
  <c r="E76" i="15"/>
  <c r="G76" i="15"/>
  <c r="J76" i="15"/>
  <c r="Q76" i="15"/>
  <c r="T76" i="15"/>
  <c r="U76" i="15"/>
  <c r="Y76" i="15"/>
  <c r="X76" i="15" l="1"/>
  <c r="W76" i="15"/>
  <c r="W77" i="15"/>
  <c r="X77" i="15"/>
  <c r="V76" i="15"/>
  <c r="V77" i="15"/>
  <c r="B65" i="15" l="1"/>
  <c r="G65" i="15"/>
  <c r="J65" i="15"/>
  <c r="Q65" i="15"/>
  <c r="T65" i="15"/>
  <c r="U65" i="15"/>
  <c r="X65" i="15"/>
  <c r="Y65" i="15" l="1"/>
  <c r="W65" i="15"/>
  <c r="V65" i="15"/>
  <c r="B284" i="15"/>
  <c r="E284" i="15"/>
  <c r="G284" i="15"/>
  <c r="J284" i="15"/>
  <c r="Q284" i="15"/>
  <c r="T284" i="15"/>
  <c r="U284" i="15"/>
  <c r="Y284" i="15"/>
  <c r="B69" i="15"/>
  <c r="E69" i="15"/>
  <c r="G69" i="15"/>
  <c r="J69" i="15"/>
  <c r="Q69" i="15"/>
  <c r="Y69" i="15" s="1"/>
  <c r="T69" i="15"/>
  <c r="U69" i="15"/>
  <c r="B68" i="15"/>
  <c r="E68" i="15"/>
  <c r="G68" i="15"/>
  <c r="J68" i="15"/>
  <c r="Q68" i="15"/>
  <c r="Y68" i="15" s="1"/>
  <c r="T68" i="15"/>
  <c r="U68" i="15"/>
  <c r="B67" i="15"/>
  <c r="E67" i="15"/>
  <c r="G67" i="15"/>
  <c r="J67" i="15"/>
  <c r="Q67" i="15"/>
  <c r="Y67" i="15" s="1"/>
  <c r="T67" i="15"/>
  <c r="U67" i="15"/>
  <c r="B169" i="15"/>
  <c r="E169" i="15"/>
  <c r="G169" i="15"/>
  <c r="J169" i="15"/>
  <c r="Q169" i="15"/>
  <c r="T169" i="15"/>
  <c r="U169" i="15"/>
  <c r="X169" i="15"/>
  <c r="Y169" i="15"/>
  <c r="X69" i="15" l="1"/>
  <c r="X68" i="15"/>
  <c r="X284" i="15"/>
  <c r="V284" i="15"/>
  <c r="W284" i="15"/>
  <c r="W69" i="15"/>
  <c r="V68" i="15"/>
  <c r="V67" i="15"/>
  <c r="V169" i="15"/>
  <c r="W169" i="15" s="1"/>
  <c r="W67" i="15"/>
  <c r="V69" i="15"/>
  <c r="X67" i="15"/>
  <c r="W68" i="15"/>
  <c r="B397" i="15" l="1"/>
  <c r="E397" i="15"/>
  <c r="G397" i="15"/>
  <c r="J397" i="15"/>
  <c r="Q397" i="15"/>
  <c r="T397" i="15"/>
  <c r="U397" i="15"/>
  <c r="Y397" i="15"/>
  <c r="B396" i="15"/>
  <c r="E396" i="15"/>
  <c r="G396" i="15"/>
  <c r="J396" i="15"/>
  <c r="Q396" i="15"/>
  <c r="T396" i="15"/>
  <c r="U396" i="15"/>
  <c r="Y396" i="15"/>
  <c r="B390" i="15"/>
  <c r="E390" i="15"/>
  <c r="G390" i="15"/>
  <c r="J390" i="15"/>
  <c r="Q390" i="15"/>
  <c r="X390" i="15" s="1"/>
  <c r="T390" i="15"/>
  <c r="U390" i="15"/>
  <c r="Y390" i="15"/>
  <c r="B389" i="15"/>
  <c r="E389" i="15"/>
  <c r="G389" i="15"/>
  <c r="J389" i="15"/>
  <c r="Q389" i="15"/>
  <c r="T389" i="15"/>
  <c r="U389" i="15"/>
  <c r="Y389" i="15"/>
  <c r="B372" i="15"/>
  <c r="E372" i="15"/>
  <c r="G372" i="15"/>
  <c r="J372" i="15"/>
  <c r="Q372" i="15"/>
  <c r="T372" i="15"/>
  <c r="U372" i="15"/>
  <c r="Y372" i="15"/>
  <c r="X372" i="15" l="1"/>
  <c r="V389" i="15"/>
  <c r="X389" i="15"/>
  <c r="X396" i="15"/>
  <c r="W397" i="15"/>
  <c r="X397" i="15"/>
  <c r="V396" i="15"/>
  <c r="W390" i="15"/>
  <c r="W389" i="15"/>
  <c r="V397" i="15"/>
  <c r="V390" i="15"/>
  <c r="W372" i="15"/>
  <c r="W396" i="15"/>
  <c r="V372" i="15"/>
  <c r="B488" i="15" l="1"/>
  <c r="E488" i="15"/>
  <c r="G488" i="15"/>
  <c r="J488" i="15"/>
  <c r="Q488" i="15"/>
  <c r="T488" i="15"/>
  <c r="U488" i="15"/>
  <c r="Y488" i="15"/>
  <c r="X488" i="15" l="1"/>
  <c r="W488" i="15"/>
  <c r="V488" i="15"/>
  <c r="B189" i="15"/>
  <c r="E189" i="15"/>
  <c r="G189" i="15"/>
  <c r="J189" i="15"/>
  <c r="Q189" i="15"/>
  <c r="T189" i="15"/>
  <c r="U189" i="15"/>
  <c r="Y189" i="15"/>
  <c r="X189" i="15" l="1"/>
  <c r="W189" i="15"/>
  <c r="V189" i="15"/>
  <c r="B240" i="15"/>
  <c r="E240" i="15"/>
  <c r="G240" i="15"/>
  <c r="J240" i="15"/>
  <c r="Q240" i="15"/>
  <c r="T240" i="15"/>
  <c r="U240" i="15"/>
  <c r="Y240" i="15"/>
  <c r="X240" i="15" l="1"/>
  <c r="W240" i="15"/>
  <c r="V240" i="15"/>
  <c r="B283" i="15"/>
  <c r="E283" i="15"/>
  <c r="G283" i="15"/>
  <c r="J283" i="15"/>
  <c r="Q283" i="15"/>
  <c r="T283" i="15"/>
  <c r="U283" i="15"/>
  <c r="Y283" i="15"/>
  <c r="X283" i="15" l="1"/>
  <c r="W283" i="15"/>
  <c r="V283" i="15"/>
  <c r="B393" i="15" l="1"/>
  <c r="E393" i="15"/>
  <c r="G393" i="15"/>
  <c r="J393" i="15"/>
  <c r="Q393" i="15"/>
  <c r="X393" i="15" s="1"/>
  <c r="T393" i="15"/>
  <c r="U393" i="15"/>
  <c r="Y393" i="15"/>
  <c r="B392" i="15"/>
  <c r="E392" i="15"/>
  <c r="G392" i="15"/>
  <c r="J392" i="15"/>
  <c r="Q392" i="15"/>
  <c r="T392" i="15"/>
  <c r="U392" i="15"/>
  <c r="Y392" i="15"/>
  <c r="X392" i="15" l="1"/>
  <c r="V392" i="15"/>
  <c r="V393" i="15"/>
  <c r="W393" i="15"/>
  <c r="W392" i="15"/>
  <c r="B238" i="15"/>
  <c r="E238" i="15"/>
  <c r="G238" i="15"/>
  <c r="J238" i="15"/>
  <c r="Q238" i="15"/>
  <c r="T238" i="15"/>
  <c r="U238" i="15"/>
  <c r="X238" i="15"/>
  <c r="Y238" i="15"/>
  <c r="V238" i="15" l="1"/>
  <c r="W238" i="15"/>
  <c r="B383" i="15"/>
  <c r="E383" i="15"/>
  <c r="G383" i="15"/>
  <c r="J383" i="15"/>
  <c r="Q383" i="15"/>
  <c r="T383" i="15"/>
  <c r="U383" i="15"/>
  <c r="Y383" i="15"/>
  <c r="B382" i="15"/>
  <c r="E382" i="15"/>
  <c r="G382" i="15"/>
  <c r="J382" i="15"/>
  <c r="Q382" i="15"/>
  <c r="X382" i="15" s="1"/>
  <c r="T382" i="15"/>
  <c r="U382" i="15"/>
  <c r="Y382" i="15"/>
  <c r="B381" i="15"/>
  <c r="E381" i="15"/>
  <c r="G381" i="15"/>
  <c r="J381" i="15"/>
  <c r="Q381" i="15"/>
  <c r="X381" i="15" s="1"/>
  <c r="T381" i="15"/>
  <c r="U381" i="15"/>
  <c r="Y381" i="15"/>
  <c r="B380" i="15"/>
  <c r="E380" i="15"/>
  <c r="G380" i="15"/>
  <c r="J380" i="15"/>
  <c r="Q380" i="15"/>
  <c r="T380" i="15"/>
  <c r="U380" i="15"/>
  <c r="Y380" i="15"/>
  <c r="B377" i="15"/>
  <c r="E377" i="15"/>
  <c r="G377" i="15"/>
  <c r="J377" i="15"/>
  <c r="Q377" i="15"/>
  <c r="X377" i="15" s="1"/>
  <c r="T377" i="15"/>
  <c r="U377" i="15"/>
  <c r="Y377" i="15"/>
  <c r="B376" i="15"/>
  <c r="E376" i="15"/>
  <c r="G376" i="15"/>
  <c r="J376" i="15"/>
  <c r="Q376" i="15"/>
  <c r="X376" i="15" s="1"/>
  <c r="T376" i="15"/>
  <c r="U376" i="15"/>
  <c r="Y376" i="15"/>
  <c r="B375" i="15"/>
  <c r="E375" i="15"/>
  <c r="G375" i="15"/>
  <c r="J375" i="15"/>
  <c r="Q375" i="15"/>
  <c r="T375" i="15"/>
  <c r="U375" i="15"/>
  <c r="Y375" i="15"/>
  <c r="B374" i="15"/>
  <c r="E374" i="15"/>
  <c r="G374" i="15"/>
  <c r="J374" i="15"/>
  <c r="Q374" i="15"/>
  <c r="T374" i="15"/>
  <c r="U374" i="15"/>
  <c r="Y374" i="15"/>
  <c r="B379" i="15"/>
  <c r="E379" i="15"/>
  <c r="G379" i="15"/>
  <c r="J379" i="15"/>
  <c r="Q379" i="15"/>
  <c r="T379" i="15"/>
  <c r="U379" i="15"/>
  <c r="Y379" i="15"/>
  <c r="B384" i="15"/>
  <c r="E384" i="15"/>
  <c r="G384" i="15"/>
  <c r="J384" i="15"/>
  <c r="Q384" i="15"/>
  <c r="T384" i="15"/>
  <c r="U384" i="15"/>
  <c r="Y384" i="15"/>
  <c r="V382" i="15" l="1"/>
  <c r="W377" i="15"/>
  <c r="X379" i="15"/>
  <c r="X384" i="15"/>
  <c r="V375" i="15"/>
  <c r="X374" i="15"/>
  <c r="V381" i="15"/>
  <c r="W383" i="15"/>
  <c r="W381" i="15"/>
  <c r="V383" i="15"/>
  <c r="X383" i="15"/>
  <c r="W382" i="15"/>
  <c r="W380" i="15"/>
  <c r="V376" i="15"/>
  <c r="W376" i="15"/>
  <c r="V377" i="15"/>
  <c r="V380" i="15"/>
  <c r="W374" i="15"/>
  <c r="X380" i="15"/>
  <c r="W384" i="15"/>
  <c r="V379" i="15"/>
  <c r="W379" i="15"/>
  <c r="V374" i="15"/>
  <c r="W375" i="15"/>
  <c r="X375" i="15"/>
  <c r="V384" i="15"/>
  <c r="B281" i="15" l="1"/>
  <c r="E281" i="15"/>
  <c r="G281" i="15"/>
  <c r="J281" i="15"/>
  <c r="Q281" i="15"/>
  <c r="X281" i="15" s="1"/>
  <c r="T281" i="15"/>
  <c r="U281" i="15"/>
  <c r="Y281" i="15"/>
  <c r="B280" i="15"/>
  <c r="E280" i="15"/>
  <c r="G280" i="15"/>
  <c r="J280" i="15"/>
  <c r="Q280" i="15"/>
  <c r="X280" i="15" s="1"/>
  <c r="T280" i="15"/>
  <c r="U280" i="15"/>
  <c r="Y280" i="15"/>
  <c r="B282" i="15"/>
  <c r="E282" i="15"/>
  <c r="G282" i="15"/>
  <c r="J282" i="15"/>
  <c r="Q282" i="15"/>
  <c r="T282" i="15"/>
  <c r="U282" i="15"/>
  <c r="Y282" i="15"/>
  <c r="X282" i="15" l="1"/>
  <c r="W280" i="15"/>
  <c r="V281" i="15"/>
  <c r="W281" i="15"/>
  <c r="V280" i="15"/>
  <c r="V282" i="15"/>
  <c r="W282" i="15"/>
  <c r="C4" i="29"/>
  <c r="D4" i="29"/>
  <c r="E4" i="29"/>
  <c r="F4" i="29"/>
  <c r="G4" i="29"/>
  <c r="H4" i="29"/>
  <c r="I4" i="29"/>
  <c r="J4" i="29"/>
  <c r="K4" i="29"/>
  <c r="L4" i="29"/>
  <c r="E43" i="15" l="1"/>
  <c r="E44" i="15"/>
  <c r="E45" i="15"/>
  <c r="E46" i="15"/>
  <c r="E47" i="15"/>
  <c r="E48" i="15"/>
  <c r="B48" i="15" l="1"/>
  <c r="G48" i="15"/>
  <c r="J48" i="15"/>
  <c r="Q48" i="15"/>
  <c r="T48" i="15"/>
  <c r="U48" i="15"/>
  <c r="B47" i="15"/>
  <c r="G47" i="15"/>
  <c r="J47" i="15"/>
  <c r="Q47" i="15"/>
  <c r="T47" i="15"/>
  <c r="U47" i="15"/>
  <c r="B46" i="15"/>
  <c r="G46" i="15"/>
  <c r="J46" i="15"/>
  <c r="Q46" i="15"/>
  <c r="T46" i="15"/>
  <c r="U46" i="15"/>
  <c r="B45" i="15"/>
  <c r="G45" i="15"/>
  <c r="J45" i="15"/>
  <c r="Q45" i="15"/>
  <c r="T45" i="15"/>
  <c r="U45" i="15"/>
  <c r="B44" i="15"/>
  <c r="G44" i="15"/>
  <c r="J44" i="15"/>
  <c r="Q44" i="15"/>
  <c r="T44" i="15"/>
  <c r="U44" i="15"/>
  <c r="B43" i="15"/>
  <c r="G43" i="15"/>
  <c r="J43" i="15"/>
  <c r="Q43" i="15"/>
  <c r="T43" i="15"/>
  <c r="U43" i="15"/>
  <c r="X43" i="15" l="1"/>
  <c r="X45" i="15"/>
  <c r="Y47" i="15"/>
  <c r="X46" i="15"/>
  <c r="X48" i="15"/>
  <c r="X44" i="15"/>
  <c r="Y44" i="15"/>
  <c r="Y48" i="15"/>
  <c r="V48" i="15"/>
  <c r="Y43" i="15"/>
  <c r="Y46" i="15"/>
  <c r="Y45" i="15"/>
  <c r="V47" i="15"/>
  <c r="V46" i="15"/>
  <c r="W47" i="15"/>
  <c r="W48" i="15"/>
  <c r="V45" i="15"/>
  <c r="X47" i="15"/>
  <c r="W46" i="15"/>
  <c r="W43" i="15"/>
  <c r="W45" i="15"/>
  <c r="V44" i="15"/>
  <c r="W44" i="15"/>
  <c r="V43" i="15"/>
  <c r="B378" i="15" l="1"/>
  <c r="E378" i="15"/>
  <c r="G378" i="15"/>
  <c r="J378" i="15"/>
  <c r="Q378" i="15"/>
  <c r="T378" i="15"/>
  <c r="U378" i="15"/>
  <c r="Y378" i="15"/>
  <c r="B359" i="15"/>
  <c r="E359" i="15"/>
  <c r="G359" i="15"/>
  <c r="J359" i="15"/>
  <c r="Q359" i="15"/>
  <c r="T359" i="15"/>
  <c r="U359" i="15"/>
  <c r="Y359" i="15"/>
  <c r="X359" i="15" l="1"/>
  <c r="V359" i="15"/>
  <c r="W378" i="15"/>
  <c r="W359" i="15"/>
  <c r="X378" i="15"/>
  <c r="V378" i="15"/>
  <c r="B158" i="15" l="1"/>
  <c r="E158" i="15"/>
  <c r="G158" i="15"/>
  <c r="J158" i="15"/>
  <c r="Q158" i="15"/>
  <c r="T158" i="15"/>
  <c r="U158" i="15"/>
  <c r="X158" i="15"/>
  <c r="Y158" i="15"/>
  <c r="B157" i="15"/>
  <c r="E157" i="15"/>
  <c r="G157" i="15"/>
  <c r="J157" i="15"/>
  <c r="Q157" i="15"/>
  <c r="T157" i="15"/>
  <c r="U157" i="15"/>
  <c r="X157" i="15"/>
  <c r="Y157" i="15"/>
  <c r="B156" i="15"/>
  <c r="E156" i="15"/>
  <c r="G156" i="15"/>
  <c r="J156" i="15"/>
  <c r="Q156" i="15"/>
  <c r="T156" i="15"/>
  <c r="U156" i="15"/>
  <c r="X156" i="15"/>
  <c r="Y156" i="15"/>
  <c r="B154" i="15"/>
  <c r="E154" i="15"/>
  <c r="G154" i="15"/>
  <c r="J154" i="15"/>
  <c r="Q154" i="15"/>
  <c r="T154" i="15"/>
  <c r="U154" i="15"/>
  <c r="X154" i="15"/>
  <c r="Y154" i="15"/>
  <c r="B153" i="15"/>
  <c r="E153" i="15"/>
  <c r="G153" i="15"/>
  <c r="J153" i="15"/>
  <c r="Q153" i="15"/>
  <c r="T153" i="15"/>
  <c r="U153" i="15"/>
  <c r="X153" i="15"/>
  <c r="Y153" i="15"/>
  <c r="B152" i="15"/>
  <c r="E152" i="15"/>
  <c r="G152" i="15"/>
  <c r="J152" i="15"/>
  <c r="Q152" i="15"/>
  <c r="T152" i="15"/>
  <c r="U152" i="15"/>
  <c r="X152" i="15"/>
  <c r="Y152" i="15"/>
  <c r="B151" i="15"/>
  <c r="E151" i="15"/>
  <c r="G151" i="15"/>
  <c r="J151" i="15"/>
  <c r="Q151" i="15"/>
  <c r="T151" i="15"/>
  <c r="U151" i="15"/>
  <c r="X151" i="15"/>
  <c r="Y151" i="15"/>
  <c r="V157" i="15" l="1"/>
  <c r="W157" i="15" s="1"/>
  <c r="V158" i="15"/>
  <c r="W158" i="15" s="1"/>
  <c r="V156" i="15"/>
  <c r="W156" i="15" s="1"/>
  <c r="V153" i="15"/>
  <c r="W153" i="15" s="1"/>
  <c r="V154" i="15"/>
  <c r="W154" i="15" s="1"/>
  <c r="V151" i="15"/>
  <c r="W151" i="15" s="1"/>
  <c r="V152" i="15"/>
  <c r="W152" i="15" s="1"/>
  <c r="Q2" i="15" l="1"/>
  <c r="B29" i="15" l="1"/>
  <c r="E29" i="15"/>
  <c r="G29" i="15"/>
  <c r="J29" i="15"/>
  <c r="Q29" i="15"/>
  <c r="T29" i="15"/>
  <c r="U29" i="15"/>
  <c r="B28" i="15"/>
  <c r="E28" i="15"/>
  <c r="G28" i="15"/>
  <c r="J28" i="15"/>
  <c r="Q28" i="15"/>
  <c r="T28" i="15"/>
  <c r="U28" i="15"/>
  <c r="X29" i="15" l="1"/>
  <c r="X28" i="15"/>
  <c r="Y29" i="15"/>
  <c r="Y28" i="15"/>
  <c r="W28" i="15"/>
  <c r="V29" i="15"/>
  <c r="W29" i="15"/>
  <c r="V28" i="15"/>
  <c r="B13" i="15"/>
  <c r="E13" i="15"/>
  <c r="G13" i="15"/>
  <c r="J13" i="15"/>
  <c r="Q13" i="15"/>
  <c r="T13" i="15"/>
  <c r="U13" i="15"/>
  <c r="B12" i="15"/>
  <c r="E12" i="15"/>
  <c r="G12" i="15"/>
  <c r="J12" i="15"/>
  <c r="Q12" i="15"/>
  <c r="T12" i="15"/>
  <c r="U12" i="15"/>
  <c r="X12" i="15" l="1"/>
  <c r="X13" i="15"/>
  <c r="Y13" i="15"/>
  <c r="Y12" i="15"/>
  <c r="W13" i="15"/>
  <c r="W12" i="15"/>
  <c r="V13" i="15"/>
  <c r="V12" i="15"/>
  <c r="B35" i="15"/>
  <c r="E35" i="15"/>
  <c r="G35" i="15"/>
  <c r="J35" i="15"/>
  <c r="Q35" i="15"/>
  <c r="T35" i="15"/>
  <c r="U35" i="15"/>
  <c r="B34" i="15"/>
  <c r="E34" i="15"/>
  <c r="G34" i="15"/>
  <c r="J34" i="15"/>
  <c r="Q34" i="15"/>
  <c r="T34" i="15"/>
  <c r="U34" i="15"/>
  <c r="X35" i="15" l="1"/>
  <c r="X34" i="15"/>
  <c r="Y34" i="15"/>
  <c r="Y35" i="15"/>
  <c r="V35" i="15"/>
  <c r="W35" i="15"/>
  <c r="W34" i="15"/>
  <c r="V34" i="15"/>
  <c r="B52" i="15"/>
  <c r="E52" i="15"/>
  <c r="G52" i="15"/>
  <c r="J52" i="15"/>
  <c r="Q52" i="15"/>
  <c r="T52" i="15"/>
  <c r="U52" i="15"/>
  <c r="Y52" i="15" l="1"/>
  <c r="X52" i="15"/>
  <c r="V52" i="15"/>
  <c r="W52" i="15"/>
  <c r="B31" i="15"/>
  <c r="E31" i="15"/>
  <c r="G31" i="15"/>
  <c r="J31" i="15"/>
  <c r="Q31" i="15"/>
  <c r="T31" i="15"/>
  <c r="U31" i="15"/>
  <c r="B30" i="15"/>
  <c r="E30" i="15"/>
  <c r="G30" i="15"/>
  <c r="J30" i="15"/>
  <c r="Q30" i="15"/>
  <c r="T30" i="15"/>
  <c r="U30" i="15"/>
  <c r="X31" i="15" l="1"/>
  <c r="X30" i="15"/>
  <c r="Y31" i="15"/>
  <c r="Y30" i="15"/>
  <c r="V31" i="15"/>
  <c r="W31" i="15"/>
  <c r="W30" i="15"/>
  <c r="V30" i="15"/>
  <c r="B42" i="15" l="1"/>
  <c r="E42" i="15"/>
  <c r="G42" i="15"/>
  <c r="J42" i="15"/>
  <c r="Q42" i="15"/>
  <c r="T42" i="15"/>
  <c r="U42" i="15"/>
  <c r="B41" i="15"/>
  <c r="E41" i="15"/>
  <c r="G41" i="15"/>
  <c r="J41" i="15"/>
  <c r="Q41" i="15"/>
  <c r="T41" i="15"/>
  <c r="U41" i="15"/>
  <c r="Y42" i="15" l="1"/>
  <c r="X42" i="15"/>
  <c r="Y41" i="15"/>
  <c r="W41" i="15"/>
  <c r="V42" i="15"/>
  <c r="W42" i="15"/>
  <c r="V41" i="15"/>
  <c r="X41" i="15"/>
  <c r="B278" i="15" l="1"/>
  <c r="E278" i="15"/>
  <c r="G278" i="15"/>
  <c r="J278" i="15"/>
  <c r="Q278" i="15"/>
  <c r="T278" i="15"/>
  <c r="U278" i="15"/>
  <c r="Y278" i="15"/>
  <c r="B274" i="15"/>
  <c r="E274" i="15"/>
  <c r="G274" i="15"/>
  <c r="J274" i="15"/>
  <c r="Q274" i="15"/>
  <c r="T274" i="15"/>
  <c r="U274" i="15"/>
  <c r="Y274" i="15"/>
  <c r="B272" i="15"/>
  <c r="E272" i="15"/>
  <c r="G272" i="15"/>
  <c r="J272" i="15"/>
  <c r="Q272" i="15"/>
  <c r="T272" i="15"/>
  <c r="U272" i="15"/>
  <c r="Y272" i="15"/>
  <c r="B279" i="15"/>
  <c r="E279" i="15"/>
  <c r="G279" i="15"/>
  <c r="J279" i="15"/>
  <c r="Q279" i="15"/>
  <c r="T279" i="15"/>
  <c r="U279" i="15"/>
  <c r="Y279" i="15"/>
  <c r="B277" i="15"/>
  <c r="E277" i="15"/>
  <c r="G277" i="15"/>
  <c r="J277" i="15"/>
  <c r="Q277" i="15"/>
  <c r="T277" i="15"/>
  <c r="U277" i="15"/>
  <c r="Y277" i="15"/>
  <c r="B276" i="15"/>
  <c r="E276" i="15"/>
  <c r="G276" i="15"/>
  <c r="J276" i="15"/>
  <c r="Q276" i="15"/>
  <c r="T276" i="15"/>
  <c r="U276" i="15"/>
  <c r="Y276" i="15"/>
  <c r="B275" i="15"/>
  <c r="E275" i="15"/>
  <c r="G275" i="15"/>
  <c r="J275" i="15"/>
  <c r="Q275" i="15"/>
  <c r="T275" i="15"/>
  <c r="U275" i="15"/>
  <c r="Y275" i="15"/>
  <c r="X276" i="15" l="1"/>
  <c r="X279" i="15"/>
  <c r="X275" i="15"/>
  <c r="X277" i="15"/>
  <c r="X274" i="15"/>
  <c r="W278" i="15"/>
  <c r="X278" i="15"/>
  <c r="V274" i="15"/>
  <c r="V278" i="15"/>
  <c r="W272" i="15"/>
  <c r="V272" i="15"/>
  <c r="W274" i="15"/>
  <c r="X272" i="15"/>
  <c r="W279" i="15"/>
  <c r="V277" i="15"/>
  <c r="W277" i="15"/>
  <c r="W276" i="15"/>
  <c r="V279" i="15"/>
  <c r="W275" i="15"/>
  <c r="V276" i="15"/>
  <c r="V275" i="15"/>
  <c r="B236" i="15" l="1"/>
  <c r="E236" i="15"/>
  <c r="G236" i="15"/>
  <c r="J236" i="15"/>
  <c r="Q236" i="15"/>
  <c r="T236" i="15"/>
  <c r="U236" i="15"/>
  <c r="Y236" i="15"/>
  <c r="B234" i="15"/>
  <c r="E234" i="15"/>
  <c r="G234" i="15"/>
  <c r="J234" i="15"/>
  <c r="Q234" i="15"/>
  <c r="T234" i="15"/>
  <c r="U234" i="15"/>
  <c r="Y234" i="15"/>
  <c r="B237" i="15"/>
  <c r="E237" i="15"/>
  <c r="G237" i="15"/>
  <c r="J237" i="15"/>
  <c r="Q237" i="15"/>
  <c r="T237" i="15"/>
  <c r="U237" i="15"/>
  <c r="Y237" i="15"/>
  <c r="B235" i="15"/>
  <c r="E235" i="15"/>
  <c r="G235" i="15"/>
  <c r="J235" i="15"/>
  <c r="Q235" i="15"/>
  <c r="T235" i="15"/>
  <c r="U235" i="15"/>
  <c r="Y235" i="15"/>
  <c r="X235" i="15" l="1"/>
  <c r="X234" i="15"/>
  <c r="V236" i="15"/>
  <c r="W236" i="15"/>
  <c r="X236" i="15"/>
  <c r="V234" i="15"/>
  <c r="W237" i="15"/>
  <c r="V237" i="15"/>
  <c r="W234" i="15"/>
  <c r="W235" i="15"/>
  <c r="X237" i="15"/>
  <c r="V235" i="15"/>
  <c r="B371" i="15" l="1"/>
  <c r="E371" i="15"/>
  <c r="G371" i="15"/>
  <c r="J371" i="15"/>
  <c r="Q371" i="15"/>
  <c r="X371" i="15" s="1"/>
  <c r="T371" i="15"/>
  <c r="U371" i="15"/>
  <c r="Y371" i="15"/>
  <c r="B370" i="15"/>
  <c r="E370" i="15"/>
  <c r="G370" i="15"/>
  <c r="J370" i="15"/>
  <c r="Q370" i="15"/>
  <c r="X370" i="15" s="1"/>
  <c r="T370" i="15"/>
  <c r="U370" i="15"/>
  <c r="Y370" i="15"/>
  <c r="B369" i="15"/>
  <c r="E369" i="15"/>
  <c r="G369" i="15"/>
  <c r="J369" i="15"/>
  <c r="Q369" i="15"/>
  <c r="X369" i="15" s="1"/>
  <c r="T369" i="15"/>
  <c r="U369" i="15"/>
  <c r="Y369" i="15"/>
  <c r="B368" i="15"/>
  <c r="E368" i="15"/>
  <c r="G368" i="15"/>
  <c r="J368" i="15"/>
  <c r="Q368" i="15"/>
  <c r="X368" i="15" s="1"/>
  <c r="T368" i="15"/>
  <c r="U368" i="15"/>
  <c r="Y368" i="15"/>
  <c r="B367" i="15"/>
  <c r="E367" i="15"/>
  <c r="G367" i="15"/>
  <c r="J367" i="15"/>
  <c r="Q367" i="15"/>
  <c r="X367" i="15" s="1"/>
  <c r="T367" i="15"/>
  <c r="U367" i="15"/>
  <c r="Y367" i="15"/>
  <c r="B366" i="15"/>
  <c r="E366" i="15"/>
  <c r="G366" i="15"/>
  <c r="J366" i="15"/>
  <c r="Q366" i="15"/>
  <c r="T366" i="15"/>
  <c r="U366" i="15"/>
  <c r="Y366" i="15"/>
  <c r="B363" i="15"/>
  <c r="E363" i="15"/>
  <c r="G363" i="15"/>
  <c r="J363" i="15"/>
  <c r="Q363" i="15"/>
  <c r="T363" i="15"/>
  <c r="U363" i="15"/>
  <c r="Y363" i="15"/>
  <c r="B358" i="15"/>
  <c r="E358" i="15"/>
  <c r="G358" i="15"/>
  <c r="J358" i="15"/>
  <c r="Q358" i="15"/>
  <c r="T358" i="15"/>
  <c r="U358" i="15"/>
  <c r="Y358" i="15"/>
  <c r="B362" i="15"/>
  <c r="E362" i="15"/>
  <c r="G362" i="15"/>
  <c r="J362" i="15"/>
  <c r="Q362" i="15"/>
  <c r="T362" i="15"/>
  <c r="U362" i="15"/>
  <c r="Y362" i="15"/>
  <c r="B357" i="15"/>
  <c r="E357" i="15"/>
  <c r="G357" i="15"/>
  <c r="J357" i="15"/>
  <c r="Q357" i="15"/>
  <c r="T357" i="15"/>
  <c r="U357" i="15"/>
  <c r="Y357" i="15"/>
  <c r="B373" i="15"/>
  <c r="E373" i="15"/>
  <c r="G373" i="15"/>
  <c r="J373" i="15"/>
  <c r="Q373" i="15"/>
  <c r="T373" i="15"/>
  <c r="U373" i="15"/>
  <c r="Y373" i="15"/>
  <c r="B365" i="15"/>
  <c r="E365" i="15"/>
  <c r="G365" i="15"/>
  <c r="J365" i="15"/>
  <c r="Q365" i="15"/>
  <c r="T365" i="15"/>
  <c r="U365" i="15"/>
  <c r="Y365" i="15"/>
  <c r="B364" i="15"/>
  <c r="E364" i="15"/>
  <c r="G364" i="15"/>
  <c r="J364" i="15"/>
  <c r="Q364" i="15"/>
  <c r="T364" i="15"/>
  <c r="U364" i="15"/>
  <c r="Y364" i="15"/>
  <c r="B361" i="15"/>
  <c r="E361" i="15"/>
  <c r="G361" i="15"/>
  <c r="J361" i="15"/>
  <c r="Q361" i="15"/>
  <c r="X361" i="15" s="1"/>
  <c r="T361" i="15"/>
  <c r="U361" i="15"/>
  <c r="Y361" i="15"/>
  <c r="B360" i="15"/>
  <c r="E360" i="15"/>
  <c r="G360" i="15"/>
  <c r="J360" i="15"/>
  <c r="Q360" i="15"/>
  <c r="T360" i="15"/>
  <c r="U360" i="15"/>
  <c r="Y360" i="15"/>
  <c r="B356" i="15"/>
  <c r="E356" i="15"/>
  <c r="G356" i="15"/>
  <c r="J356" i="15"/>
  <c r="Q356" i="15"/>
  <c r="X356" i="15" s="1"/>
  <c r="T356" i="15"/>
  <c r="U356" i="15"/>
  <c r="Y356" i="15"/>
  <c r="B355" i="15"/>
  <c r="E355" i="15"/>
  <c r="G355" i="15"/>
  <c r="J355" i="15"/>
  <c r="Q355" i="15"/>
  <c r="T355" i="15"/>
  <c r="U355" i="15"/>
  <c r="Y355" i="15"/>
  <c r="X365" i="15" l="1"/>
  <c r="X373" i="15"/>
  <c r="X364" i="15"/>
  <c r="X362" i="15"/>
  <c r="X366" i="15"/>
  <c r="X357" i="15"/>
  <c r="X355" i="15"/>
  <c r="V371" i="15"/>
  <c r="W371" i="15"/>
  <c r="W369" i="15"/>
  <c r="V369" i="15"/>
  <c r="V370" i="15"/>
  <c r="W368" i="15"/>
  <c r="W370" i="15"/>
  <c r="W367" i="15"/>
  <c r="V368" i="15"/>
  <c r="V367" i="15"/>
  <c r="W366" i="15"/>
  <c r="W363" i="15"/>
  <c r="W357" i="15"/>
  <c r="V366" i="15"/>
  <c r="W358" i="15"/>
  <c r="V358" i="15"/>
  <c r="V363" i="15"/>
  <c r="W362" i="15"/>
  <c r="X363" i="15"/>
  <c r="X358" i="15"/>
  <c r="V362" i="15"/>
  <c r="W365" i="15"/>
  <c r="W373" i="15"/>
  <c r="V373" i="15"/>
  <c r="V357" i="15"/>
  <c r="W364" i="15"/>
  <c r="V365" i="15"/>
  <c r="V364" i="15"/>
  <c r="W361" i="15"/>
  <c r="V361" i="15"/>
  <c r="V360" i="15"/>
  <c r="W356" i="15"/>
  <c r="X360" i="15"/>
  <c r="W355" i="15"/>
  <c r="W360" i="15"/>
  <c r="V355" i="15"/>
  <c r="V356" i="15"/>
  <c r="B198" i="15"/>
  <c r="E198" i="15"/>
  <c r="G198" i="15"/>
  <c r="J198" i="15"/>
  <c r="Q198" i="15"/>
  <c r="T198" i="15"/>
  <c r="U198" i="15"/>
  <c r="Y198" i="15"/>
  <c r="B196" i="15"/>
  <c r="E196" i="15"/>
  <c r="G196" i="15"/>
  <c r="J196" i="15"/>
  <c r="Q196" i="15"/>
  <c r="T196" i="15"/>
  <c r="U196" i="15"/>
  <c r="Y196" i="15"/>
  <c r="X196" i="15" l="1"/>
  <c r="X198" i="15"/>
  <c r="V196" i="15"/>
  <c r="W198" i="15"/>
  <c r="V198" i="15"/>
  <c r="W196" i="15"/>
  <c r="B259" i="15" l="1"/>
  <c r="E259" i="15"/>
  <c r="G259" i="15"/>
  <c r="J259" i="15"/>
  <c r="Q259" i="15"/>
  <c r="T259" i="15"/>
  <c r="U259" i="15"/>
  <c r="Y259" i="15"/>
  <c r="X259" i="15" l="1"/>
  <c r="V259" i="15"/>
  <c r="W259" i="15"/>
  <c r="B487" i="15"/>
  <c r="E487" i="15"/>
  <c r="G487" i="15"/>
  <c r="J487" i="15"/>
  <c r="Q487" i="15"/>
  <c r="T487" i="15"/>
  <c r="U487" i="15"/>
  <c r="Y487" i="15"/>
  <c r="X487" i="15" l="1"/>
  <c r="V487" i="15"/>
  <c r="W487" i="15"/>
  <c r="B177" i="15"/>
  <c r="E177" i="15"/>
  <c r="G177" i="15"/>
  <c r="J177" i="15"/>
  <c r="Q177" i="15"/>
  <c r="T177" i="15"/>
  <c r="U177" i="15"/>
  <c r="X177" i="15"/>
  <c r="Y177" i="15"/>
  <c r="B176" i="15"/>
  <c r="E176" i="15"/>
  <c r="G176" i="15"/>
  <c r="J176" i="15"/>
  <c r="Q176" i="15"/>
  <c r="T176" i="15"/>
  <c r="U176" i="15"/>
  <c r="X176" i="15"/>
  <c r="Y176" i="15"/>
  <c r="V177" i="15" l="1"/>
  <c r="W177" i="15" s="1"/>
  <c r="V176" i="15"/>
  <c r="W176" i="15" s="1"/>
  <c r="B258" i="15"/>
  <c r="E258" i="15"/>
  <c r="G258" i="15"/>
  <c r="J258" i="15"/>
  <c r="Q258" i="15"/>
  <c r="T258" i="15"/>
  <c r="U258" i="15"/>
  <c r="Y258" i="15"/>
  <c r="X258" i="15" l="1"/>
  <c r="W258" i="15"/>
  <c r="V258" i="15"/>
  <c r="B486" i="15"/>
  <c r="E486" i="15"/>
  <c r="G486" i="15"/>
  <c r="J486" i="15"/>
  <c r="Q486" i="15"/>
  <c r="T486" i="15"/>
  <c r="U486" i="15"/>
  <c r="Y486" i="15"/>
  <c r="X486" i="15" l="1"/>
  <c r="V486" i="15"/>
  <c r="W486" i="15"/>
  <c r="B40" i="15" l="1"/>
  <c r="E40" i="15"/>
  <c r="G40" i="15"/>
  <c r="J40" i="15"/>
  <c r="Q40" i="15"/>
  <c r="T40" i="15"/>
  <c r="U40" i="15"/>
  <c r="B39" i="15"/>
  <c r="E39" i="15"/>
  <c r="G39" i="15"/>
  <c r="J39" i="15"/>
  <c r="Q39" i="15"/>
  <c r="T39" i="15"/>
  <c r="U39" i="15"/>
  <c r="Y40" i="15" l="1"/>
  <c r="X39" i="15"/>
  <c r="Y39" i="15"/>
  <c r="X40" i="15"/>
  <c r="W39" i="15"/>
  <c r="V40" i="15"/>
  <c r="V39" i="15"/>
  <c r="W40" i="15"/>
  <c r="B11" i="15"/>
  <c r="E11" i="15"/>
  <c r="G11" i="15"/>
  <c r="J11" i="15"/>
  <c r="Q11" i="15"/>
  <c r="T11" i="15"/>
  <c r="U11" i="15"/>
  <c r="B10" i="15"/>
  <c r="E10" i="15"/>
  <c r="G10" i="15"/>
  <c r="J10" i="15"/>
  <c r="Q10" i="15"/>
  <c r="Y10" i="15" s="1"/>
  <c r="T10" i="15"/>
  <c r="U10" i="15"/>
  <c r="X11" i="15" l="1"/>
  <c r="Y11" i="15"/>
  <c r="W11" i="15"/>
  <c r="V11" i="15"/>
  <c r="V10" i="15"/>
  <c r="W10" i="15"/>
  <c r="X10" i="15"/>
  <c r="B33" i="15"/>
  <c r="E33" i="15"/>
  <c r="G33" i="15"/>
  <c r="J33" i="15"/>
  <c r="Q33" i="15"/>
  <c r="T33" i="15"/>
  <c r="U33" i="15"/>
  <c r="X33" i="15" l="1"/>
  <c r="Y33" i="15"/>
  <c r="V33" i="15"/>
  <c r="W33" i="15"/>
  <c r="B142" i="15"/>
  <c r="E142" i="15"/>
  <c r="G142" i="15"/>
  <c r="J142" i="15"/>
  <c r="Q142" i="15"/>
  <c r="T142" i="15"/>
  <c r="U142" i="15"/>
  <c r="Y142" i="15"/>
  <c r="X142" i="15" l="1"/>
  <c r="V142" i="15"/>
  <c r="W142" i="15"/>
  <c r="Y144" i="15" l="1"/>
  <c r="Y145" i="15"/>
  <c r="Y146" i="15"/>
  <c r="Y147" i="15"/>
  <c r="Y148" i="15"/>
  <c r="Y149" i="15"/>
  <c r="Y161" i="15"/>
  <c r="Y162" i="15"/>
  <c r="Y163" i="15"/>
  <c r="Y164" i="15"/>
  <c r="Y192" i="15"/>
  <c r="Y193" i="15"/>
  <c r="Y194" i="15"/>
  <c r="Y195" i="15"/>
  <c r="Y197" i="15"/>
  <c r="Y216" i="15"/>
  <c r="Y217" i="15"/>
  <c r="Y218" i="15"/>
  <c r="Y219" i="15"/>
  <c r="Y220" i="15"/>
  <c r="Y221" i="15"/>
  <c r="Y222" i="15"/>
  <c r="Y223" i="15"/>
  <c r="Y224" i="15"/>
  <c r="Y225" i="15"/>
  <c r="Y226" i="15"/>
  <c r="Y227" i="15"/>
  <c r="Y228" i="15"/>
  <c r="Y229" i="15"/>
  <c r="Y230" i="15"/>
  <c r="Y231" i="15"/>
  <c r="Y232" i="15"/>
  <c r="Y233" i="15"/>
  <c r="Y266" i="15"/>
  <c r="Y267" i="15"/>
  <c r="Y268" i="15"/>
  <c r="Y269" i="15"/>
  <c r="Y270" i="15"/>
  <c r="Y271" i="15"/>
  <c r="Y273" i="15"/>
  <c r="Y298" i="15"/>
  <c r="Y299" i="15"/>
  <c r="Y300" i="15"/>
  <c r="Y301" i="15"/>
  <c r="Y302" i="15"/>
  <c r="Y303" i="15"/>
  <c r="Y304" i="15"/>
  <c r="Y305" i="15"/>
  <c r="Y306" i="15"/>
  <c r="Y307" i="15"/>
  <c r="Y308" i="15"/>
  <c r="Y309" i="15"/>
  <c r="Y310" i="15"/>
  <c r="Y311" i="15"/>
  <c r="Y312" i="15"/>
  <c r="Y313" i="15"/>
  <c r="Y314" i="15"/>
  <c r="Y315" i="15"/>
  <c r="Y316" i="15"/>
  <c r="Y317" i="15"/>
  <c r="Y318" i="15"/>
  <c r="Y319" i="15"/>
  <c r="Y320" i="15"/>
  <c r="Y321" i="15"/>
  <c r="Y322" i="15"/>
  <c r="Y323" i="15"/>
  <c r="Y324" i="15"/>
  <c r="Y325" i="15"/>
  <c r="Y326" i="15"/>
  <c r="Y327" i="15"/>
  <c r="Y328" i="15"/>
  <c r="Y329" i="15"/>
  <c r="Y330" i="15"/>
  <c r="Y332" i="15"/>
  <c r="Y333" i="15"/>
  <c r="Y334" i="15"/>
  <c r="Y335" i="15"/>
  <c r="Y336" i="15"/>
  <c r="Y337" i="15"/>
  <c r="Y338" i="15"/>
  <c r="Y339" i="15"/>
  <c r="Y340" i="15"/>
  <c r="Y341" i="15"/>
  <c r="Y342" i="15"/>
  <c r="Y343" i="15"/>
  <c r="Y344" i="15"/>
  <c r="Y345" i="15"/>
  <c r="Y346" i="15"/>
  <c r="Y347" i="15"/>
  <c r="Y348" i="15"/>
  <c r="Y349" i="15"/>
  <c r="Y350" i="15"/>
  <c r="Y351" i="15"/>
  <c r="Y352" i="15"/>
  <c r="Y353" i="15"/>
  <c r="Y354" i="15"/>
  <c r="Y476" i="15"/>
  <c r="Y477" i="15"/>
  <c r="Y478" i="15"/>
  <c r="Y479" i="15"/>
  <c r="Y480" i="15"/>
  <c r="Y481" i="15"/>
  <c r="Y482" i="15"/>
  <c r="Y483" i="15"/>
  <c r="Y484" i="15"/>
  <c r="Y485" i="15"/>
  <c r="Y501" i="15"/>
  <c r="Y502" i="15"/>
  <c r="Y503" i="15"/>
  <c r="Y504" i="15"/>
  <c r="Y505" i="15"/>
  <c r="Y543" i="15"/>
  <c r="Y544" i="15"/>
  <c r="Y545" i="15"/>
  <c r="B51" i="15"/>
  <c r="E51" i="15"/>
  <c r="G51" i="15"/>
  <c r="J51" i="15"/>
  <c r="Q51" i="15"/>
  <c r="T51" i="15"/>
  <c r="U51" i="15"/>
  <c r="B50" i="15"/>
  <c r="E50" i="15"/>
  <c r="G50" i="15"/>
  <c r="J50" i="15"/>
  <c r="Q50" i="15"/>
  <c r="T50" i="15"/>
  <c r="U50" i="15"/>
  <c r="Y50" i="15" l="1"/>
  <c r="Y51" i="15"/>
  <c r="X51" i="15"/>
  <c r="X50" i="15"/>
  <c r="W51" i="15"/>
  <c r="V51" i="15"/>
  <c r="W50" i="15"/>
  <c r="V50" i="15"/>
  <c r="B149" i="15"/>
  <c r="E149" i="15"/>
  <c r="G149" i="15"/>
  <c r="J149" i="15"/>
  <c r="Q149" i="15"/>
  <c r="T149" i="15"/>
  <c r="U149" i="15"/>
  <c r="X149" i="15"/>
  <c r="B148" i="15"/>
  <c r="E148" i="15"/>
  <c r="G148" i="15"/>
  <c r="J148" i="15"/>
  <c r="Q148" i="15"/>
  <c r="T148" i="15"/>
  <c r="U148" i="15"/>
  <c r="X148" i="15"/>
  <c r="V149" i="15" l="1"/>
  <c r="W149" i="15" s="1"/>
  <c r="V148" i="15"/>
  <c r="W148" i="15" s="1"/>
  <c r="B197" i="15" l="1"/>
  <c r="E197" i="15"/>
  <c r="G197" i="15"/>
  <c r="J197" i="15"/>
  <c r="Q197" i="15"/>
  <c r="T197" i="15"/>
  <c r="U197" i="15"/>
  <c r="B195" i="15"/>
  <c r="E195" i="15"/>
  <c r="G195" i="15"/>
  <c r="J195" i="15"/>
  <c r="Q195" i="15"/>
  <c r="T195" i="15"/>
  <c r="U195" i="15"/>
  <c r="B194" i="15"/>
  <c r="E194" i="15"/>
  <c r="G194" i="15"/>
  <c r="J194" i="15"/>
  <c r="Q194" i="15"/>
  <c r="T194" i="15"/>
  <c r="U194" i="15"/>
  <c r="B192" i="15"/>
  <c r="E192" i="15"/>
  <c r="G192" i="15"/>
  <c r="J192" i="15"/>
  <c r="Q192" i="15"/>
  <c r="T192" i="15"/>
  <c r="U192" i="15"/>
  <c r="X192" i="15" l="1"/>
  <c r="V197" i="15"/>
  <c r="W195" i="15"/>
  <c r="V195" i="15"/>
  <c r="W197" i="15"/>
  <c r="X197" i="15"/>
  <c r="V194" i="15"/>
  <c r="X195" i="15"/>
  <c r="X194" i="15"/>
  <c r="W194" i="15"/>
  <c r="W192" i="15"/>
  <c r="V192" i="15"/>
  <c r="B27" i="15" l="1"/>
  <c r="E27" i="15"/>
  <c r="G27" i="15"/>
  <c r="J27" i="15"/>
  <c r="Q27" i="15"/>
  <c r="T27" i="15"/>
  <c r="U27" i="15"/>
  <c r="B26" i="15"/>
  <c r="E26" i="15"/>
  <c r="G26" i="15"/>
  <c r="J26" i="15"/>
  <c r="Q26" i="15"/>
  <c r="T26" i="15"/>
  <c r="U26" i="15"/>
  <c r="Y26" i="15" l="1"/>
  <c r="Y27" i="15"/>
  <c r="W27" i="15"/>
  <c r="X27" i="15"/>
  <c r="V27" i="15"/>
  <c r="W26" i="15"/>
  <c r="V26" i="15"/>
  <c r="X26" i="15"/>
  <c r="B273" i="15" l="1"/>
  <c r="E273" i="15"/>
  <c r="G273" i="15"/>
  <c r="J273" i="15"/>
  <c r="Q273" i="15"/>
  <c r="T273" i="15"/>
  <c r="U273" i="15"/>
  <c r="B271" i="15"/>
  <c r="E271" i="15"/>
  <c r="G271" i="15"/>
  <c r="J271" i="15"/>
  <c r="Q271" i="15"/>
  <c r="T271" i="15"/>
  <c r="U271" i="15"/>
  <c r="B269" i="15"/>
  <c r="E269" i="15"/>
  <c r="G269" i="15"/>
  <c r="J269" i="15"/>
  <c r="Q269" i="15"/>
  <c r="T269" i="15"/>
  <c r="U269" i="15"/>
  <c r="B270" i="15"/>
  <c r="E270" i="15"/>
  <c r="G270" i="15"/>
  <c r="J270" i="15"/>
  <c r="Q270" i="15"/>
  <c r="T270" i="15"/>
  <c r="U270" i="15"/>
  <c r="B268" i="15"/>
  <c r="E268" i="15"/>
  <c r="G268" i="15"/>
  <c r="J268" i="15"/>
  <c r="Q268" i="15"/>
  <c r="T268" i="15"/>
  <c r="U268" i="15"/>
  <c r="B266" i="15"/>
  <c r="E266" i="15"/>
  <c r="G266" i="15"/>
  <c r="J266" i="15"/>
  <c r="Q266" i="15"/>
  <c r="T266" i="15"/>
  <c r="U266" i="15"/>
  <c r="X273" i="15" l="1"/>
  <c r="X271" i="15"/>
  <c r="X269" i="15"/>
  <c r="X268" i="15"/>
  <c r="X270" i="15"/>
  <c r="X266" i="15"/>
  <c r="W271" i="15"/>
  <c r="V273" i="15"/>
  <c r="W273" i="15"/>
  <c r="W270" i="15"/>
  <c r="V269" i="15"/>
  <c r="V268" i="15"/>
  <c r="V271" i="15"/>
  <c r="W268" i="15"/>
  <c r="V270" i="15"/>
  <c r="W269" i="15"/>
  <c r="W266" i="15"/>
  <c r="V266" i="15"/>
  <c r="B232" i="15" l="1"/>
  <c r="E232" i="15"/>
  <c r="G232" i="15"/>
  <c r="J232" i="15"/>
  <c r="Q232" i="15"/>
  <c r="T232" i="15"/>
  <c r="U232" i="15"/>
  <c r="B233" i="15"/>
  <c r="E233" i="15"/>
  <c r="G233" i="15"/>
  <c r="J233" i="15"/>
  <c r="Q233" i="15"/>
  <c r="T233" i="15"/>
  <c r="U233" i="15"/>
  <c r="B231" i="15"/>
  <c r="E231" i="15"/>
  <c r="G231" i="15"/>
  <c r="J231" i="15"/>
  <c r="Q231" i="15"/>
  <c r="T231" i="15"/>
  <c r="U231" i="15"/>
  <c r="B229" i="15"/>
  <c r="E229" i="15"/>
  <c r="G229" i="15"/>
  <c r="J229" i="15"/>
  <c r="Q229" i="15"/>
  <c r="T229" i="15"/>
  <c r="U229" i="15"/>
  <c r="W232" i="15" l="1"/>
  <c r="V232" i="15"/>
  <c r="X232" i="15"/>
  <c r="W231" i="15"/>
  <c r="V233" i="15"/>
  <c r="W233" i="15"/>
  <c r="X233" i="15"/>
  <c r="X231" i="15"/>
  <c r="V231" i="15"/>
  <c r="V229" i="15"/>
  <c r="X229" i="15"/>
  <c r="W229" i="15"/>
  <c r="B505" i="15" l="1"/>
  <c r="E505" i="15"/>
  <c r="G505" i="15"/>
  <c r="J505" i="15"/>
  <c r="Q505" i="15"/>
  <c r="T505" i="15"/>
  <c r="U505" i="15"/>
  <c r="B504" i="15"/>
  <c r="E504" i="15"/>
  <c r="G504" i="15"/>
  <c r="J504" i="15"/>
  <c r="Q504" i="15"/>
  <c r="T504" i="15"/>
  <c r="U504" i="15"/>
  <c r="B502" i="15"/>
  <c r="E502" i="15"/>
  <c r="G502" i="15"/>
  <c r="J502" i="15"/>
  <c r="Q502" i="15"/>
  <c r="T502" i="15"/>
  <c r="U502" i="15"/>
  <c r="B350" i="15"/>
  <c r="E350" i="15"/>
  <c r="G350" i="15"/>
  <c r="J350" i="15"/>
  <c r="Q350" i="15"/>
  <c r="X350" i="15" s="1"/>
  <c r="T350" i="15"/>
  <c r="U350" i="15"/>
  <c r="B349" i="15"/>
  <c r="E349" i="15"/>
  <c r="G349" i="15"/>
  <c r="J349" i="15"/>
  <c r="Q349" i="15"/>
  <c r="T349" i="15"/>
  <c r="U349" i="15"/>
  <c r="B354" i="15"/>
  <c r="E354" i="15"/>
  <c r="G354" i="15"/>
  <c r="J354" i="15"/>
  <c r="Q354" i="15"/>
  <c r="T354" i="15"/>
  <c r="U354" i="15"/>
  <c r="B353" i="15"/>
  <c r="E353" i="15"/>
  <c r="G353" i="15"/>
  <c r="J353" i="15"/>
  <c r="Q353" i="15"/>
  <c r="T353" i="15"/>
  <c r="U353" i="15"/>
  <c r="B352" i="15"/>
  <c r="E352" i="15"/>
  <c r="G352" i="15"/>
  <c r="J352" i="15"/>
  <c r="Q352" i="15"/>
  <c r="T352" i="15"/>
  <c r="U352" i="15"/>
  <c r="B351" i="15"/>
  <c r="E351" i="15"/>
  <c r="G351" i="15"/>
  <c r="J351" i="15"/>
  <c r="Q351" i="15"/>
  <c r="T351" i="15"/>
  <c r="U351" i="15"/>
  <c r="B347" i="15"/>
  <c r="E347" i="15"/>
  <c r="G347" i="15"/>
  <c r="J347" i="15"/>
  <c r="Q347" i="15"/>
  <c r="X347" i="15" s="1"/>
  <c r="T347" i="15"/>
  <c r="U347" i="15"/>
  <c r="B346" i="15"/>
  <c r="E346" i="15"/>
  <c r="G346" i="15"/>
  <c r="J346" i="15"/>
  <c r="Q346" i="15"/>
  <c r="T346" i="15"/>
  <c r="U346" i="15"/>
  <c r="B342" i="15"/>
  <c r="E342" i="15"/>
  <c r="G342" i="15"/>
  <c r="J342" i="15"/>
  <c r="Q342" i="15"/>
  <c r="X342" i="15" s="1"/>
  <c r="T342" i="15"/>
  <c r="U342" i="15"/>
  <c r="B341" i="15"/>
  <c r="E341" i="15"/>
  <c r="G341" i="15"/>
  <c r="J341" i="15"/>
  <c r="Q341" i="15"/>
  <c r="T341" i="15"/>
  <c r="U341" i="15"/>
  <c r="B339" i="15"/>
  <c r="E339" i="15"/>
  <c r="G339" i="15"/>
  <c r="J339" i="15"/>
  <c r="Q339" i="15"/>
  <c r="T339" i="15"/>
  <c r="U339" i="15"/>
  <c r="X349" i="15" l="1"/>
  <c r="X339" i="15"/>
  <c r="X351" i="15"/>
  <c r="X504" i="15"/>
  <c r="W504" i="15"/>
  <c r="W505" i="15"/>
  <c r="X354" i="15"/>
  <c r="V505" i="15"/>
  <c r="X505" i="15"/>
  <c r="V504" i="15"/>
  <c r="W347" i="15"/>
  <c r="W349" i="15"/>
  <c r="V350" i="15"/>
  <c r="V502" i="15"/>
  <c r="X502" i="15"/>
  <c r="W502" i="15"/>
  <c r="W350" i="15"/>
  <c r="V354" i="15"/>
  <c r="W341" i="15"/>
  <c r="V349" i="15"/>
  <c r="W354" i="15"/>
  <c r="V346" i="15"/>
  <c r="V352" i="15"/>
  <c r="V351" i="15"/>
  <c r="W351" i="15"/>
  <c r="V353" i="15"/>
  <c r="V342" i="15"/>
  <c r="W352" i="15"/>
  <c r="X353" i="15"/>
  <c r="X352" i="15"/>
  <c r="W353" i="15"/>
  <c r="W346" i="15"/>
  <c r="W342" i="15"/>
  <c r="V347" i="15"/>
  <c r="X341" i="15"/>
  <c r="V341" i="15"/>
  <c r="X346" i="15"/>
  <c r="W339" i="15"/>
  <c r="V339" i="15"/>
  <c r="B501" i="15" l="1"/>
  <c r="E501" i="15"/>
  <c r="G501" i="15"/>
  <c r="J501" i="15"/>
  <c r="Q501" i="15"/>
  <c r="T501" i="15"/>
  <c r="U501" i="15"/>
  <c r="B503" i="15"/>
  <c r="E503" i="15"/>
  <c r="G503" i="15"/>
  <c r="J503" i="15"/>
  <c r="Q503" i="15"/>
  <c r="T503" i="15"/>
  <c r="U503" i="15"/>
  <c r="B345" i="15"/>
  <c r="E345" i="15"/>
  <c r="G345" i="15"/>
  <c r="J345" i="15"/>
  <c r="Q345" i="15"/>
  <c r="T345" i="15"/>
  <c r="U345" i="15"/>
  <c r="B344" i="15"/>
  <c r="E344" i="15"/>
  <c r="G344" i="15"/>
  <c r="J344" i="15"/>
  <c r="Q344" i="15"/>
  <c r="T344" i="15"/>
  <c r="U344" i="15"/>
  <c r="B348" i="15"/>
  <c r="E348" i="15"/>
  <c r="G348" i="15"/>
  <c r="J348" i="15"/>
  <c r="Q348" i="15"/>
  <c r="T348" i="15"/>
  <c r="U348" i="15"/>
  <c r="B343" i="15"/>
  <c r="E343" i="15"/>
  <c r="G343" i="15"/>
  <c r="J343" i="15"/>
  <c r="Q343" i="15"/>
  <c r="T343" i="15"/>
  <c r="U343" i="15"/>
  <c r="B340" i="15"/>
  <c r="E340" i="15"/>
  <c r="G340" i="15"/>
  <c r="J340" i="15"/>
  <c r="Q340" i="15"/>
  <c r="T340" i="15"/>
  <c r="U340" i="15"/>
  <c r="B337" i="15"/>
  <c r="E337" i="15"/>
  <c r="G337" i="15"/>
  <c r="J337" i="15"/>
  <c r="Q337" i="15"/>
  <c r="T337" i="15"/>
  <c r="U337" i="15"/>
  <c r="B338" i="15"/>
  <c r="E338" i="15"/>
  <c r="G338" i="15"/>
  <c r="J338" i="15"/>
  <c r="Q338" i="15"/>
  <c r="T338" i="15"/>
  <c r="U338" i="15"/>
  <c r="B335" i="15"/>
  <c r="E335" i="15"/>
  <c r="G335" i="15"/>
  <c r="J335" i="15"/>
  <c r="Q335" i="15"/>
  <c r="X335" i="15" s="1"/>
  <c r="T335" i="15"/>
  <c r="U335" i="15"/>
  <c r="B334" i="15"/>
  <c r="E334" i="15"/>
  <c r="G334" i="15"/>
  <c r="J334" i="15"/>
  <c r="Q334" i="15"/>
  <c r="T334" i="15"/>
  <c r="U334" i="15"/>
  <c r="B336" i="15"/>
  <c r="E336" i="15"/>
  <c r="G336" i="15"/>
  <c r="J336" i="15"/>
  <c r="Q336" i="15"/>
  <c r="T336" i="15"/>
  <c r="U336" i="15"/>
  <c r="B333" i="15"/>
  <c r="E333" i="15"/>
  <c r="G333" i="15"/>
  <c r="J333" i="15"/>
  <c r="Q333" i="15"/>
  <c r="T333" i="15"/>
  <c r="U333" i="15"/>
  <c r="B332" i="15"/>
  <c r="E332" i="15"/>
  <c r="G332" i="15"/>
  <c r="J332" i="15"/>
  <c r="Q332" i="15"/>
  <c r="T332" i="15"/>
  <c r="U332" i="15"/>
  <c r="B330" i="15"/>
  <c r="E330" i="15"/>
  <c r="G330" i="15"/>
  <c r="J330" i="15"/>
  <c r="Q330" i="15"/>
  <c r="T330" i="15"/>
  <c r="U330" i="15"/>
  <c r="B327" i="15"/>
  <c r="E327" i="15"/>
  <c r="G327" i="15"/>
  <c r="J327" i="15"/>
  <c r="Q327" i="15"/>
  <c r="X327" i="15" s="1"/>
  <c r="T327" i="15"/>
  <c r="U327" i="15"/>
  <c r="B326" i="15"/>
  <c r="E326" i="15"/>
  <c r="G326" i="15"/>
  <c r="J326" i="15"/>
  <c r="Q326" i="15"/>
  <c r="T326" i="15"/>
  <c r="U326" i="15"/>
  <c r="B325" i="15"/>
  <c r="E325" i="15"/>
  <c r="G325" i="15"/>
  <c r="J325" i="15"/>
  <c r="Q325" i="15"/>
  <c r="T325" i="15"/>
  <c r="U325" i="15"/>
  <c r="B313" i="15"/>
  <c r="E313" i="15"/>
  <c r="G313" i="15"/>
  <c r="J313" i="15"/>
  <c r="Q313" i="15"/>
  <c r="X313" i="15" s="1"/>
  <c r="T313" i="15"/>
  <c r="U313" i="15"/>
  <c r="B312" i="15"/>
  <c r="E312" i="15"/>
  <c r="G312" i="15"/>
  <c r="J312" i="15"/>
  <c r="Q312" i="15"/>
  <c r="T312" i="15"/>
  <c r="U312" i="15"/>
  <c r="B322" i="15"/>
  <c r="E322" i="15"/>
  <c r="G322" i="15"/>
  <c r="J322" i="15"/>
  <c r="Q322" i="15"/>
  <c r="X322" i="15" s="1"/>
  <c r="T322" i="15"/>
  <c r="U322" i="15"/>
  <c r="B321" i="15"/>
  <c r="E321" i="15"/>
  <c r="G321" i="15"/>
  <c r="J321" i="15"/>
  <c r="Q321" i="15"/>
  <c r="T321" i="15"/>
  <c r="U321" i="15"/>
  <c r="B320" i="15"/>
  <c r="E320" i="15"/>
  <c r="G320" i="15"/>
  <c r="J320" i="15"/>
  <c r="Q320" i="15"/>
  <c r="T320" i="15"/>
  <c r="U320" i="15"/>
  <c r="B319" i="15"/>
  <c r="E319" i="15"/>
  <c r="G319" i="15"/>
  <c r="J319" i="15"/>
  <c r="Q319" i="15"/>
  <c r="X319" i="15" s="1"/>
  <c r="T319" i="15"/>
  <c r="U319" i="15"/>
  <c r="B318" i="15"/>
  <c r="E318" i="15"/>
  <c r="G318" i="15"/>
  <c r="J318" i="15"/>
  <c r="Q318" i="15"/>
  <c r="T318" i="15"/>
  <c r="U318" i="15"/>
  <c r="B317" i="15"/>
  <c r="E317" i="15"/>
  <c r="G317" i="15"/>
  <c r="J317" i="15"/>
  <c r="Q317" i="15"/>
  <c r="T317" i="15"/>
  <c r="U317" i="15"/>
  <c r="B316" i="15"/>
  <c r="E316" i="15"/>
  <c r="G316" i="15"/>
  <c r="J316" i="15"/>
  <c r="Q316" i="15"/>
  <c r="T316" i="15"/>
  <c r="U316" i="15"/>
  <c r="B311" i="15"/>
  <c r="E311" i="15"/>
  <c r="G311" i="15"/>
  <c r="J311" i="15"/>
  <c r="Q311" i="15"/>
  <c r="T311" i="15"/>
  <c r="U311" i="15"/>
  <c r="X503" i="15" l="1"/>
  <c r="X340" i="15"/>
  <c r="X344" i="15"/>
  <c r="X338" i="15"/>
  <c r="X316" i="15"/>
  <c r="X330" i="15"/>
  <c r="X337" i="15"/>
  <c r="X332" i="15"/>
  <c r="X311" i="15"/>
  <c r="X336" i="15"/>
  <c r="X333" i="15"/>
  <c r="X501" i="15"/>
  <c r="X343" i="15"/>
  <c r="W501" i="15"/>
  <c r="V345" i="15"/>
  <c r="V503" i="15"/>
  <c r="V501" i="15"/>
  <c r="V348" i="15"/>
  <c r="W344" i="15"/>
  <c r="W345" i="15"/>
  <c r="V340" i="15"/>
  <c r="V344" i="15"/>
  <c r="W503" i="15"/>
  <c r="W348" i="15"/>
  <c r="W343" i="15"/>
  <c r="X345" i="15"/>
  <c r="X348" i="15"/>
  <c r="W337" i="15"/>
  <c r="V343" i="15"/>
  <c r="W338" i="15"/>
  <c r="V338" i="15"/>
  <c r="W340" i="15"/>
  <c r="V334" i="15"/>
  <c r="V337" i="15"/>
  <c r="V335" i="15"/>
  <c r="X334" i="15"/>
  <c r="V313" i="15"/>
  <c r="V327" i="15"/>
  <c r="W333" i="15"/>
  <c r="W327" i="15"/>
  <c r="V336" i="15"/>
  <c r="W335" i="15"/>
  <c r="V333" i="15"/>
  <c r="W334" i="15"/>
  <c r="W332" i="15"/>
  <c r="W326" i="15"/>
  <c r="W336" i="15"/>
  <c r="V332" i="15"/>
  <c r="V330" i="15"/>
  <c r="V326" i="15"/>
  <c r="V325" i="15"/>
  <c r="X326" i="15"/>
  <c r="V322" i="15"/>
  <c r="W330" i="15"/>
  <c r="V320" i="15"/>
  <c r="W313" i="15"/>
  <c r="W325" i="15"/>
  <c r="V312" i="15"/>
  <c r="V321" i="15"/>
  <c r="W322" i="15"/>
  <c r="X325" i="15"/>
  <c r="W312" i="15"/>
  <c r="X321" i="15"/>
  <c r="X312" i="15"/>
  <c r="V316" i="15"/>
  <c r="W321" i="15"/>
  <c r="V318" i="15"/>
  <c r="W320" i="15"/>
  <c r="V319" i="15"/>
  <c r="W319" i="15"/>
  <c r="V311" i="15"/>
  <c r="X320" i="15"/>
  <c r="W318" i="15"/>
  <c r="W311" i="15"/>
  <c r="X318" i="15"/>
  <c r="V317" i="15"/>
  <c r="X317" i="15"/>
  <c r="W317" i="15"/>
  <c r="W316" i="15"/>
  <c r="B267" i="15"/>
  <c r="E267" i="15"/>
  <c r="G267" i="15"/>
  <c r="J267" i="15"/>
  <c r="Q267" i="15"/>
  <c r="T267" i="15"/>
  <c r="U267" i="15"/>
  <c r="X267" i="15" l="1"/>
  <c r="W267" i="15"/>
  <c r="V267" i="15"/>
  <c r="B230" i="15" l="1"/>
  <c r="E230" i="15"/>
  <c r="G230" i="15"/>
  <c r="J230" i="15"/>
  <c r="Q230" i="15"/>
  <c r="T230" i="15"/>
  <c r="U230" i="15"/>
  <c r="X230" i="15" l="1"/>
  <c r="V230" i="15"/>
  <c r="W230" i="15"/>
  <c r="B9" i="15"/>
  <c r="E9" i="15"/>
  <c r="G9" i="15"/>
  <c r="J9" i="15"/>
  <c r="Q9" i="15"/>
  <c r="T9" i="15"/>
  <c r="U9" i="15"/>
  <c r="B8" i="15"/>
  <c r="E8" i="15"/>
  <c r="G8" i="15"/>
  <c r="J8" i="15"/>
  <c r="Q8" i="15"/>
  <c r="T8" i="15"/>
  <c r="U8" i="15"/>
  <c r="Y9" i="15" l="1"/>
  <c r="X8" i="15"/>
  <c r="Y8" i="15"/>
  <c r="W8" i="15"/>
  <c r="W9" i="15"/>
  <c r="X9" i="15"/>
  <c r="V9" i="15"/>
  <c r="V8" i="15"/>
  <c r="B49" i="15"/>
  <c r="E49" i="15"/>
  <c r="G49" i="15"/>
  <c r="J49" i="15"/>
  <c r="Q49" i="15"/>
  <c r="T49" i="15"/>
  <c r="U49" i="15"/>
  <c r="Y49" i="15" l="1"/>
  <c r="X49" i="15"/>
  <c r="V49" i="15"/>
  <c r="W49" i="15"/>
  <c r="B53" i="15"/>
  <c r="E53" i="15"/>
  <c r="G53" i="15"/>
  <c r="J53" i="15"/>
  <c r="Q53" i="15"/>
  <c r="T53" i="15"/>
  <c r="U53" i="15"/>
  <c r="B147" i="15"/>
  <c r="E147" i="15"/>
  <c r="G147" i="15"/>
  <c r="J147" i="15"/>
  <c r="Q147" i="15"/>
  <c r="T147" i="15"/>
  <c r="U147" i="15"/>
  <c r="X147" i="15"/>
  <c r="B146" i="15"/>
  <c r="E146" i="15"/>
  <c r="G146" i="15"/>
  <c r="J146" i="15"/>
  <c r="Q146" i="15"/>
  <c r="T146" i="15"/>
  <c r="U146" i="15"/>
  <c r="X146" i="15"/>
  <c r="B145" i="15"/>
  <c r="E145" i="15"/>
  <c r="G145" i="15"/>
  <c r="J145" i="15"/>
  <c r="Q145" i="15"/>
  <c r="T145" i="15"/>
  <c r="U145" i="15"/>
  <c r="X145" i="15"/>
  <c r="B144" i="15"/>
  <c r="E144" i="15"/>
  <c r="G144" i="15"/>
  <c r="J144" i="15"/>
  <c r="Q144" i="15"/>
  <c r="T144" i="15"/>
  <c r="U144" i="15"/>
  <c r="X144" i="15"/>
  <c r="Y53" i="15" l="1"/>
  <c r="V147" i="15"/>
  <c r="W147" i="15" s="1"/>
  <c r="V146" i="15"/>
  <c r="W146" i="15" s="1"/>
  <c r="V53" i="15"/>
  <c r="X53" i="15"/>
  <c r="W53" i="15"/>
  <c r="V145" i="15"/>
  <c r="W145" i="15" s="1"/>
  <c r="V144" i="15"/>
  <c r="W144" i="15" s="1"/>
  <c r="B141" i="15" l="1"/>
  <c r="E141" i="15"/>
  <c r="G141" i="15"/>
  <c r="J141" i="15"/>
  <c r="Q141" i="15"/>
  <c r="Y141" i="15" s="1"/>
  <c r="T141" i="15"/>
  <c r="U141" i="15"/>
  <c r="B140" i="15"/>
  <c r="E140" i="15"/>
  <c r="G140" i="15"/>
  <c r="J140" i="15"/>
  <c r="Q140" i="15"/>
  <c r="Y140" i="15" s="1"/>
  <c r="T140" i="15"/>
  <c r="U140" i="15"/>
  <c r="V140" i="15" l="1"/>
  <c r="V141" i="15"/>
  <c r="X140" i="15"/>
  <c r="W141" i="15"/>
  <c r="X141" i="15"/>
  <c r="W140" i="15"/>
  <c r="B193" i="15" l="1"/>
  <c r="E193" i="15"/>
  <c r="G193" i="15"/>
  <c r="J193" i="15"/>
  <c r="Q193" i="15"/>
  <c r="T193" i="15"/>
  <c r="U193" i="15"/>
  <c r="W193" i="15" l="1"/>
  <c r="V193" i="15"/>
  <c r="X193" i="15"/>
  <c r="B25" i="15" l="1"/>
  <c r="E25" i="15"/>
  <c r="G25" i="15"/>
  <c r="J25" i="15"/>
  <c r="Q25" i="15"/>
  <c r="T25" i="15"/>
  <c r="U25" i="15"/>
  <c r="B24" i="15"/>
  <c r="E24" i="15"/>
  <c r="G24" i="15"/>
  <c r="J24" i="15"/>
  <c r="Q24" i="15"/>
  <c r="T24" i="15"/>
  <c r="U24" i="15"/>
  <c r="B23" i="15"/>
  <c r="E23" i="15"/>
  <c r="G23" i="15"/>
  <c r="J23" i="15"/>
  <c r="Q23" i="15"/>
  <c r="T23" i="15"/>
  <c r="U23" i="15"/>
  <c r="B22" i="15"/>
  <c r="E22" i="15"/>
  <c r="G22" i="15"/>
  <c r="J22" i="15"/>
  <c r="Q22" i="15"/>
  <c r="T22" i="15"/>
  <c r="U22" i="15"/>
  <c r="B21" i="15"/>
  <c r="E21" i="15"/>
  <c r="G21" i="15"/>
  <c r="J21" i="15"/>
  <c r="Q21" i="15"/>
  <c r="T21" i="15"/>
  <c r="U21" i="15"/>
  <c r="B20" i="15"/>
  <c r="E20" i="15"/>
  <c r="G20" i="15"/>
  <c r="J20" i="15"/>
  <c r="Q20" i="15"/>
  <c r="T20" i="15"/>
  <c r="U20" i="15"/>
  <c r="B19" i="15"/>
  <c r="E19" i="15"/>
  <c r="G19" i="15"/>
  <c r="J19" i="15"/>
  <c r="Q19" i="15"/>
  <c r="T19" i="15"/>
  <c r="U19" i="15"/>
  <c r="B18" i="15"/>
  <c r="E18" i="15"/>
  <c r="G18" i="15"/>
  <c r="J18" i="15"/>
  <c r="Q18" i="15"/>
  <c r="T18" i="15"/>
  <c r="U18" i="15"/>
  <c r="B17" i="15"/>
  <c r="E17" i="15"/>
  <c r="G17" i="15"/>
  <c r="J17" i="15"/>
  <c r="Q17" i="15"/>
  <c r="T17" i="15"/>
  <c r="U17" i="15"/>
  <c r="Y24" i="15" l="1"/>
  <c r="Y19" i="15"/>
  <c r="Y21" i="15"/>
  <c r="Y20" i="15"/>
  <c r="Y23" i="15"/>
  <c r="Y18" i="15"/>
  <c r="Y25" i="15"/>
  <c r="Y22" i="15"/>
  <c r="Y17" i="15"/>
  <c r="W25" i="15"/>
  <c r="V25" i="15"/>
  <c r="X20" i="15"/>
  <c r="X22" i="15"/>
  <c r="X25" i="15"/>
  <c r="X24" i="15"/>
  <c r="X18" i="15"/>
  <c r="X21" i="15"/>
  <c r="V23" i="15"/>
  <c r="V21" i="15"/>
  <c r="W23" i="15"/>
  <c r="V24" i="15"/>
  <c r="W24" i="15"/>
  <c r="W22" i="15"/>
  <c r="X23" i="15"/>
  <c r="V22" i="15"/>
  <c r="W20" i="15"/>
  <c r="W21" i="15"/>
  <c r="V20" i="15"/>
  <c r="V19" i="15"/>
  <c r="X19" i="15"/>
  <c r="W17" i="15"/>
  <c r="W19" i="15"/>
  <c r="W18" i="15"/>
  <c r="V17" i="15"/>
  <c r="X17" i="15"/>
  <c r="V18" i="15"/>
  <c r="U161" i="15"/>
  <c r="U162" i="15"/>
  <c r="U163" i="15"/>
  <c r="U164" i="15"/>
  <c r="U2" i="15"/>
  <c r="U3" i="15"/>
  <c r="U4" i="15"/>
  <c r="U5" i="15"/>
  <c r="U6" i="15"/>
  <c r="U7" i="15"/>
  <c r="U36" i="15"/>
  <c r="U37" i="15"/>
  <c r="U38" i="15"/>
  <c r="U32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14" i="15"/>
  <c r="U15" i="15"/>
  <c r="U16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4" i="15"/>
  <c r="U315" i="15"/>
  <c r="U323" i="15"/>
  <c r="U324" i="15"/>
  <c r="U328" i="15"/>
  <c r="U329" i="15"/>
  <c r="U476" i="15"/>
  <c r="U112" i="15"/>
  <c r="U477" i="15"/>
  <c r="U478" i="15"/>
  <c r="U479" i="15"/>
  <c r="U480" i="15"/>
  <c r="U481" i="15"/>
  <c r="U482" i="15"/>
  <c r="U483" i="15"/>
  <c r="U484" i="15"/>
  <c r="U485" i="15"/>
  <c r="U134" i="15"/>
  <c r="U135" i="15"/>
  <c r="U136" i="15"/>
  <c r="U137" i="15"/>
  <c r="U138" i="15"/>
  <c r="U139" i="15"/>
  <c r="U543" i="15"/>
  <c r="U544" i="15"/>
  <c r="U545" i="15"/>
  <c r="T161" i="15"/>
  <c r="T162" i="15"/>
  <c r="T163" i="15"/>
  <c r="T164" i="15"/>
  <c r="T2" i="15"/>
  <c r="T3" i="15"/>
  <c r="T4" i="15"/>
  <c r="T5" i="15"/>
  <c r="T6" i="15"/>
  <c r="T7" i="15"/>
  <c r="T36" i="15"/>
  <c r="T37" i="15"/>
  <c r="T38" i="15"/>
  <c r="T32" i="15"/>
  <c r="T216" i="15"/>
  <c r="T217" i="15"/>
  <c r="T218" i="15"/>
  <c r="T219" i="15"/>
  <c r="T220" i="15"/>
  <c r="T221" i="15"/>
  <c r="T222" i="15"/>
  <c r="T223" i="15"/>
  <c r="T224" i="15"/>
  <c r="T225" i="15"/>
  <c r="T226" i="15"/>
  <c r="T227" i="15"/>
  <c r="T228" i="15"/>
  <c r="T14" i="15"/>
  <c r="T15" i="15"/>
  <c r="T16" i="15"/>
  <c r="T298" i="15"/>
  <c r="T299" i="15"/>
  <c r="T300" i="15"/>
  <c r="T301" i="15"/>
  <c r="T302" i="15"/>
  <c r="T303" i="15"/>
  <c r="T304" i="15"/>
  <c r="T305" i="15"/>
  <c r="T306" i="15"/>
  <c r="T307" i="15"/>
  <c r="T308" i="15"/>
  <c r="T309" i="15"/>
  <c r="T310" i="15"/>
  <c r="T314" i="15"/>
  <c r="T315" i="15"/>
  <c r="T323" i="15"/>
  <c r="T324" i="15"/>
  <c r="T328" i="15"/>
  <c r="T329" i="15"/>
  <c r="T476" i="15"/>
  <c r="T112" i="15"/>
  <c r="T477" i="15"/>
  <c r="T478" i="15"/>
  <c r="T479" i="15"/>
  <c r="T480" i="15"/>
  <c r="T481" i="15"/>
  <c r="T482" i="15"/>
  <c r="T483" i="15"/>
  <c r="T484" i="15"/>
  <c r="T485" i="15"/>
  <c r="T134" i="15"/>
  <c r="T135" i="15"/>
  <c r="T136" i="15"/>
  <c r="T137" i="15"/>
  <c r="T138" i="15"/>
  <c r="T139" i="15"/>
  <c r="T543" i="15"/>
  <c r="T544" i="15"/>
  <c r="T545" i="15"/>
  <c r="E545" i="15"/>
  <c r="E544" i="15"/>
  <c r="E543" i="15"/>
  <c r="E139" i="15"/>
  <c r="E138" i="15"/>
  <c r="E137" i="15"/>
  <c r="E136" i="15"/>
  <c r="E135" i="15"/>
  <c r="E134" i="15"/>
  <c r="E485" i="15"/>
  <c r="E484" i="15"/>
  <c r="E483" i="15"/>
  <c r="E482" i="15"/>
  <c r="E481" i="15"/>
  <c r="E480" i="15"/>
  <c r="E479" i="15"/>
  <c r="E478" i="15"/>
  <c r="E477" i="15"/>
  <c r="E112" i="15"/>
  <c r="E476" i="15"/>
  <c r="E329" i="15"/>
  <c r="E328" i="15"/>
  <c r="E324" i="15"/>
  <c r="E323" i="15"/>
  <c r="E315" i="15"/>
  <c r="E314" i="15"/>
  <c r="E310" i="15"/>
  <c r="E309" i="15"/>
  <c r="E308" i="15"/>
  <c r="E307" i="15"/>
  <c r="E306" i="15"/>
  <c r="E305" i="15"/>
  <c r="E304" i="15"/>
  <c r="E303" i="15"/>
  <c r="E302" i="15"/>
  <c r="E301" i="15"/>
  <c r="E300" i="15"/>
  <c r="E299" i="15"/>
  <c r="E298" i="15"/>
  <c r="E16" i="15"/>
  <c r="E15" i="15"/>
  <c r="E14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32" i="15"/>
  <c r="E38" i="15"/>
  <c r="E37" i="15"/>
  <c r="E36" i="15"/>
  <c r="E7" i="15"/>
  <c r="E6" i="15"/>
  <c r="E5" i="15"/>
  <c r="E4" i="15"/>
  <c r="E3" i="15"/>
  <c r="E2" i="15"/>
  <c r="E164" i="15"/>
  <c r="E163" i="15"/>
  <c r="E162" i="15"/>
  <c r="E161" i="15"/>
  <c r="AF14" i="15"/>
  <c r="Q161" i="15"/>
  <c r="Q162" i="15"/>
  <c r="Q163" i="15"/>
  <c r="Q164" i="15"/>
  <c r="Y2" i="15"/>
  <c r="Q3" i="15"/>
  <c r="Q4" i="15"/>
  <c r="Q5" i="15"/>
  <c r="Q6" i="15"/>
  <c r="Q7" i="15"/>
  <c r="Q36" i="15"/>
  <c r="Q37" i="15"/>
  <c r="Q38" i="15"/>
  <c r="Q32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14" i="15"/>
  <c r="Q15" i="15"/>
  <c r="Q16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4" i="15"/>
  <c r="Q315" i="15"/>
  <c r="Q323" i="15"/>
  <c r="Q324" i="15"/>
  <c r="Q328" i="15"/>
  <c r="Q329" i="15"/>
  <c r="Q476" i="15"/>
  <c r="Q112" i="15"/>
  <c r="Q477" i="15"/>
  <c r="Q478" i="15"/>
  <c r="Q479" i="15"/>
  <c r="Q480" i="15"/>
  <c r="Q481" i="15"/>
  <c r="Q482" i="15"/>
  <c r="Q483" i="15"/>
  <c r="Q484" i="15"/>
  <c r="Q485" i="15"/>
  <c r="Q134" i="15"/>
  <c r="Y134" i="15" s="1"/>
  <c r="Q135" i="15"/>
  <c r="Y135" i="15" s="1"/>
  <c r="Q136" i="15"/>
  <c r="Y136" i="15" s="1"/>
  <c r="Q137" i="15"/>
  <c r="Y137" i="15" s="1"/>
  <c r="Q138" i="15"/>
  <c r="Y138" i="15" s="1"/>
  <c r="Q139" i="15"/>
  <c r="Y139" i="15" s="1"/>
  <c r="Q543" i="15"/>
  <c r="Q544" i="15"/>
  <c r="Q545" i="15"/>
  <c r="Y112" i="15" l="1"/>
  <c r="B4" i="29" s="1"/>
  <c r="Y36" i="15"/>
  <c r="Y15" i="15"/>
  <c r="Y14" i="15"/>
  <c r="Y16" i="15"/>
  <c r="Y7" i="15"/>
  <c r="Y38" i="15"/>
  <c r="Y5" i="15"/>
  <c r="Y37" i="15"/>
  <c r="Y6" i="15"/>
  <c r="Y4" i="15"/>
  <c r="Y32" i="15"/>
  <c r="Y3" i="15"/>
  <c r="V36" i="15"/>
  <c r="V484" i="15"/>
  <c r="V134" i="15"/>
  <c r="V329" i="15"/>
  <c r="V304" i="15"/>
  <c r="V226" i="15"/>
  <c r="V38" i="15"/>
  <c r="V161" i="15"/>
  <c r="W161" i="15" s="1"/>
  <c r="W4" i="15"/>
  <c r="W476" i="15"/>
  <c r="V136" i="15"/>
  <c r="V112" i="15"/>
  <c r="V306" i="15"/>
  <c r="V228" i="15"/>
  <c r="V216" i="15"/>
  <c r="V163" i="15"/>
  <c r="W163" i="15" s="1"/>
  <c r="W324" i="15"/>
  <c r="W217" i="15"/>
  <c r="V477" i="15"/>
  <c r="V307" i="15"/>
  <c r="V217" i="15"/>
  <c r="V164" i="15"/>
  <c r="W164" i="15" s="1"/>
  <c r="V301" i="15"/>
  <c r="W37" i="15"/>
  <c r="W225" i="15"/>
  <c r="W303" i="15"/>
  <c r="W328" i="15"/>
  <c r="V219" i="15"/>
  <c r="W224" i="15"/>
  <c r="V483" i="15"/>
  <c r="V323" i="15"/>
  <c r="V223" i="15"/>
  <c r="V7" i="15"/>
  <c r="V302" i="15"/>
  <c r="V221" i="15"/>
  <c r="W300" i="15"/>
  <c r="W302" i="15"/>
  <c r="W6" i="15"/>
  <c r="W36" i="15"/>
  <c r="W222" i="15"/>
  <c r="W484" i="15"/>
  <c r="W298" i="15"/>
  <c r="V482" i="15"/>
  <c r="V222" i="15"/>
  <c r="W16" i="15"/>
  <c r="W481" i="15"/>
  <c r="V481" i="15"/>
  <c r="W482" i="15"/>
  <c r="W7" i="15"/>
  <c r="W223" i="15"/>
  <c r="W301" i="15"/>
  <c r="W483" i="15"/>
  <c r="V139" i="15"/>
  <c r="V479" i="15"/>
  <c r="V309" i="15"/>
  <c r="V16" i="15"/>
  <c r="V3" i="15"/>
  <c r="W310" i="15"/>
  <c r="V545" i="15"/>
  <c r="W545" i="15" s="1"/>
  <c r="V300" i="15"/>
  <c r="W309" i="15"/>
  <c r="W314" i="15"/>
  <c r="V314" i="15"/>
  <c r="W315" i="15"/>
  <c r="W485" i="15"/>
  <c r="V137" i="15"/>
  <c r="V14" i="15"/>
  <c r="W220" i="15"/>
  <c r="W139" i="15"/>
  <c r="W221" i="15"/>
  <c r="V544" i="15"/>
  <c r="W544" i="15" s="1"/>
  <c r="W15" i="15"/>
  <c r="V6" i="15"/>
  <c r="W3" i="15"/>
  <c r="W299" i="15"/>
  <c r="V5" i="15"/>
  <c r="W323" i="15"/>
  <c r="W480" i="15"/>
  <c r="V315" i="15"/>
  <c r="W5" i="15"/>
  <c r="V299" i="15"/>
  <c r="V324" i="15"/>
  <c r="V224" i="15"/>
  <c r="V480" i="15"/>
  <c r="V138" i="15"/>
  <c r="V218" i="15"/>
  <c r="W14" i="15"/>
  <c r="W477" i="15"/>
  <c r="V485" i="15"/>
  <c r="V328" i="15"/>
  <c r="V303" i="15"/>
  <c r="V225" i="15"/>
  <c r="V37" i="15"/>
  <c r="W2" i="15"/>
  <c r="W218" i="15"/>
  <c r="W308" i="15"/>
  <c r="W478" i="15"/>
  <c r="W138" i="15"/>
  <c r="V310" i="15"/>
  <c r="V15" i="15"/>
  <c r="W307" i="15"/>
  <c r="W137" i="15"/>
  <c r="W219" i="15"/>
  <c r="W479" i="15"/>
  <c r="V298" i="15"/>
  <c r="V478" i="15"/>
  <c r="W38" i="15"/>
  <c r="W226" i="15"/>
  <c r="W304" i="15"/>
  <c r="W329" i="15"/>
  <c r="W134" i="15"/>
  <c r="V543" i="15"/>
  <c r="W543" i="15" s="1"/>
  <c r="V220" i="15"/>
  <c r="V308" i="15"/>
  <c r="W32" i="15"/>
  <c r="W227" i="15"/>
  <c r="W305" i="15"/>
  <c r="W135" i="15"/>
  <c r="V135" i="15"/>
  <c r="V476" i="15"/>
  <c r="V305" i="15"/>
  <c r="V227" i="15"/>
  <c r="V32" i="15"/>
  <c r="V162" i="15"/>
  <c r="W162" i="15" s="1"/>
  <c r="V4" i="15"/>
  <c r="V2" i="15"/>
  <c r="W216" i="15"/>
  <c r="W228" i="15"/>
  <c r="W306" i="15"/>
  <c r="W112" i="15"/>
  <c r="W136" i="15"/>
  <c r="B7" i="15"/>
  <c r="G7" i="15"/>
  <c r="J7" i="15"/>
  <c r="X7" i="15"/>
  <c r="B6" i="15"/>
  <c r="G6" i="15"/>
  <c r="J6" i="15"/>
  <c r="X6" i="15"/>
  <c r="A4" i="29" l="1"/>
  <c r="M4" i="29" s="1"/>
  <c r="B32" i="15"/>
  <c r="G32" i="15"/>
  <c r="J32" i="15"/>
  <c r="X32" i="15"/>
  <c r="B485" i="15" l="1"/>
  <c r="G485" i="15"/>
  <c r="J485" i="15"/>
  <c r="X485" i="15"/>
  <c r="B484" i="15"/>
  <c r="G484" i="15"/>
  <c r="J484" i="15"/>
  <c r="X484" i="15"/>
  <c r="B483" i="15"/>
  <c r="G483" i="15"/>
  <c r="J483" i="15"/>
  <c r="X483" i="15"/>
  <c r="B482" i="15"/>
  <c r="G482" i="15"/>
  <c r="J482" i="15"/>
  <c r="X482" i="15"/>
  <c r="B480" i="15"/>
  <c r="G480" i="15"/>
  <c r="J480" i="15"/>
  <c r="X480" i="15"/>
  <c r="B228" i="15" l="1"/>
  <c r="G228" i="15"/>
  <c r="J228" i="15"/>
  <c r="X228" i="15"/>
  <c r="B227" i="15"/>
  <c r="G227" i="15"/>
  <c r="J227" i="15"/>
  <c r="X227" i="15"/>
  <c r="B225" i="15"/>
  <c r="G225" i="15"/>
  <c r="J225" i="15"/>
  <c r="X225" i="15"/>
  <c r="B223" i="15"/>
  <c r="G223" i="15"/>
  <c r="J223" i="15"/>
  <c r="X223" i="15"/>
  <c r="B545" i="15" l="1"/>
  <c r="G545" i="15"/>
  <c r="J545" i="15"/>
  <c r="X545" i="15"/>
  <c r="B139" i="15" l="1"/>
  <c r="G139" i="15"/>
  <c r="J139" i="15"/>
  <c r="X139" i="15"/>
  <c r="B138" i="15"/>
  <c r="G138" i="15"/>
  <c r="J138" i="15"/>
  <c r="X138" i="15"/>
  <c r="B137" i="15"/>
  <c r="G137" i="15"/>
  <c r="J137" i="15"/>
  <c r="X137" i="15"/>
  <c r="B136" i="15"/>
  <c r="G136" i="15"/>
  <c r="J136" i="15"/>
  <c r="X136" i="15"/>
  <c r="B226" i="15" l="1"/>
  <c r="G226" i="15"/>
  <c r="J226" i="15"/>
  <c r="X226" i="15"/>
  <c r="B224" i="15"/>
  <c r="G224" i="15"/>
  <c r="J224" i="15"/>
  <c r="X224" i="15"/>
  <c r="B222" i="15"/>
  <c r="G222" i="15"/>
  <c r="J222" i="15"/>
  <c r="X222" i="15"/>
  <c r="B219" i="15"/>
  <c r="G219" i="15"/>
  <c r="J219" i="15"/>
  <c r="X219" i="15"/>
  <c r="B217" i="15"/>
  <c r="G217" i="15"/>
  <c r="J217" i="15"/>
  <c r="X217" i="15"/>
  <c r="B481" i="15" l="1"/>
  <c r="G481" i="15"/>
  <c r="J481" i="15"/>
  <c r="X481" i="15"/>
  <c r="B478" i="15"/>
  <c r="G478" i="15"/>
  <c r="J478" i="15"/>
  <c r="X478" i="15"/>
  <c r="B477" i="15"/>
  <c r="G477" i="15"/>
  <c r="J477" i="15"/>
  <c r="X477" i="15"/>
  <c r="B5" i="15" l="1"/>
  <c r="G5" i="15"/>
  <c r="J5" i="15"/>
  <c r="X5" i="15"/>
  <c r="B4" i="15"/>
  <c r="G4" i="15"/>
  <c r="J4" i="15"/>
  <c r="X4" i="15"/>
  <c r="B3" i="15"/>
  <c r="G3" i="15"/>
  <c r="J3" i="15"/>
  <c r="X3" i="15"/>
  <c r="B2" i="15"/>
  <c r="G2" i="15"/>
  <c r="J2" i="15"/>
  <c r="X2" i="15"/>
  <c r="B329" i="15" l="1"/>
  <c r="G329" i="15"/>
  <c r="J329" i="15"/>
  <c r="X329" i="15"/>
  <c r="B310" i="15"/>
  <c r="G310" i="15"/>
  <c r="J310" i="15"/>
  <c r="X310" i="15"/>
  <c r="B309" i="15"/>
  <c r="G309" i="15"/>
  <c r="J309" i="15"/>
  <c r="X309" i="15"/>
  <c r="B328" i="15"/>
  <c r="G328" i="15"/>
  <c r="J328" i="15"/>
  <c r="X328" i="15"/>
  <c r="B324" i="15"/>
  <c r="G324" i="15"/>
  <c r="J324" i="15"/>
  <c r="X324" i="15"/>
  <c r="B323" i="15"/>
  <c r="G323" i="15"/>
  <c r="J323" i="15"/>
  <c r="X323" i="15"/>
  <c r="B315" i="15"/>
  <c r="G315" i="15"/>
  <c r="J315" i="15"/>
  <c r="X315" i="15"/>
  <c r="B314" i="15"/>
  <c r="G314" i="15"/>
  <c r="J314" i="15"/>
  <c r="X314" i="15"/>
  <c r="B306" i="15"/>
  <c r="G306" i="15"/>
  <c r="J306" i="15"/>
  <c r="X306" i="15"/>
  <c r="B303" i="15"/>
  <c r="G303" i="15"/>
  <c r="J303" i="15"/>
  <c r="X303" i="15"/>
  <c r="B301" i="15"/>
  <c r="G301" i="15"/>
  <c r="J301" i="15"/>
  <c r="X301" i="15"/>
  <c r="B38" i="15" l="1"/>
  <c r="G38" i="15"/>
  <c r="J38" i="15"/>
  <c r="B37" i="15"/>
  <c r="G37" i="15"/>
  <c r="J37" i="15"/>
  <c r="B36" i="15"/>
  <c r="G36" i="15"/>
  <c r="J36" i="15"/>
  <c r="X36" i="15"/>
  <c r="X38" i="15" l="1"/>
  <c r="X37" i="15"/>
  <c r="B135" i="15" l="1"/>
  <c r="G135" i="15"/>
  <c r="J135" i="15"/>
  <c r="B134" i="15"/>
  <c r="G134" i="15"/>
  <c r="J134" i="15"/>
  <c r="X134" i="15" l="1"/>
  <c r="X135" i="15"/>
  <c r="B544" i="15"/>
  <c r="G544" i="15"/>
  <c r="J544" i="15"/>
  <c r="X544" i="15"/>
  <c r="B543" i="15"/>
  <c r="G543" i="15"/>
  <c r="J543" i="15"/>
  <c r="X543" i="15"/>
  <c r="B221" i="15" l="1"/>
  <c r="G221" i="15"/>
  <c r="J221" i="15"/>
  <c r="X221" i="15"/>
  <c r="B220" i="15"/>
  <c r="G220" i="15"/>
  <c r="J220" i="15"/>
  <c r="X220" i="15"/>
  <c r="B218" i="15"/>
  <c r="G218" i="15"/>
  <c r="J218" i="15"/>
  <c r="X218" i="15"/>
  <c r="B216" i="15"/>
  <c r="G216" i="15"/>
  <c r="J216" i="15"/>
  <c r="X216" i="15"/>
  <c r="B16" i="15" l="1"/>
  <c r="G16" i="15"/>
  <c r="J16" i="15"/>
  <c r="X16" i="15"/>
  <c r="B15" i="15"/>
  <c r="G15" i="15"/>
  <c r="J15" i="15"/>
  <c r="X15" i="15"/>
  <c r="B14" i="15"/>
  <c r="G14" i="15"/>
  <c r="J14" i="15"/>
  <c r="X14" i="15"/>
  <c r="B305" i="15" l="1"/>
  <c r="G305" i="15"/>
  <c r="J305" i="15"/>
  <c r="X305" i="15"/>
  <c r="B308" i="15"/>
  <c r="G308" i="15"/>
  <c r="J308" i="15"/>
  <c r="X308" i="15"/>
  <c r="B307" i="15"/>
  <c r="G307" i="15"/>
  <c r="J307" i="15"/>
  <c r="X307" i="15"/>
  <c r="B304" i="15"/>
  <c r="G304" i="15"/>
  <c r="J304" i="15"/>
  <c r="X304" i="15"/>
  <c r="B302" i="15"/>
  <c r="G302" i="15"/>
  <c r="J302" i="15"/>
  <c r="X302" i="15"/>
  <c r="B162" i="15"/>
  <c r="G162" i="15"/>
  <c r="J162" i="15"/>
  <c r="X162" i="15"/>
  <c r="B161" i="15"/>
  <c r="G161" i="15"/>
  <c r="J161" i="15"/>
  <c r="X161" i="15"/>
  <c r="B163" i="15"/>
  <c r="G163" i="15"/>
  <c r="J163" i="15"/>
  <c r="X163" i="15"/>
  <c r="B164" i="15"/>
  <c r="G164" i="15"/>
  <c r="J164" i="15"/>
  <c r="X164" i="15"/>
  <c r="B479" i="15" l="1"/>
  <c r="G479" i="15"/>
  <c r="J479" i="15"/>
  <c r="X479" i="15"/>
  <c r="B112" i="15" l="1"/>
  <c r="G112" i="15"/>
  <c r="J112" i="15"/>
  <c r="X112" i="15"/>
  <c r="B476" i="15"/>
  <c r="G476" i="15"/>
  <c r="J476" i="15"/>
  <c r="X476" i="15"/>
  <c r="B300" i="15"/>
  <c r="G300" i="15"/>
  <c r="J300" i="15"/>
  <c r="X300" i="15"/>
  <c r="B299" i="15"/>
  <c r="G299" i="15"/>
  <c r="J299" i="15"/>
  <c r="X299" i="15"/>
  <c r="J298" i="15"/>
  <c r="A2" i="15" l="1"/>
  <c r="A3" i="15" s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G298" i="15" l="1"/>
  <c r="B298" i="15" l="1"/>
  <c r="X298" i="15" l="1"/>
  <c r="X551" i="15" s="1"/>
  <c r="AA23" i="15" s="1"/>
  <c r="Q551" i="15"/>
  <c r="T551" i="15"/>
  <c r="Y551" i="15" l="1"/>
  <c r="AA20" i="15" s="1"/>
  <c r="A551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MasterFY19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sterFY19.xlsmTable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Table1].[IPO].&amp;[NB]}"/>
    <s v="{[Table1].[Date (Year)].[All]}"/>
    <s v="{[Table1].[Date (Month)].[All]}"/>
    <s v="{[Table1].[WO#].&amp;[2466],[Table1].[WO#].&amp;[2524],[Table1].[WO#].&amp;[2526],[Table1].[WO#].&amp;[2590],[Table1].[WO#].&amp;[2595],[Table1].[WO#].&amp;[2601],[Table1].[WO#].&amp;[2606],[Table1].[WO#].&amp;[2607],[Table1].[WO#].&amp;[2617],[Table1].[WO#].&amp;[2624],[Table1].[WO#].&amp;[2627],[Table1].[WO#].&amp;[2635],[Table1].[WO#].&amp;[2636],[Table1].[WO#].&amp;[2637],[Table1].[WO#].&amp;[2638],[Table1].[WO#].&amp;[2639],[Table1].[WO#].&amp;[2641],[Table1].[WO#].&amp;[2649],[Table1].[WO#].&amp;[2651],[Table1].[WO#].&amp;[2652],[Table1].[WO#].&amp;[2653],[Table1].[WO#].&amp;[2654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<sst xmlns="http://schemas.openxmlformats.org/spreadsheetml/2006/main" count="4545" uniqueCount="1039">
  <si>
    <t>WO #</t>
  </si>
  <si>
    <t>Match</t>
  </si>
  <si>
    <t>SM16 Master</t>
  </si>
  <si>
    <t>Las Vegas Valley</t>
  </si>
  <si>
    <t>Churchill County OFR</t>
  </si>
  <si>
    <t>McDermitt Update</t>
  </si>
  <si>
    <t>Black Warrior</t>
  </si>
  <si>
    <t>Biennial Report 2012</t>
  </si>
  <si>
    <t>Lidar database setup</t>
  </si>
  <si>
    <t>Lower Pahranagat Lake NW</t>
  </si>
  <si>
    <t>Geology Posters</t>
  </si>
  <si>
    <t>Bradys</t>
  </si>
  <si>
    <t>Hazard Mitigation</t>
  </si>
  <si>
    <t>3DEP Proposal Support</t>
  </si>
  <si>
    <t>Date</t>
  </si>
  <si>
    <t>Initials</t>
  </si>
  <si>
    <t>WO#</t>
  </si>
  <si>
    <t>RM</t>
  </si>
  <si>
    <t>Forge Phase 2</t>
  </si>
  <si>
    <t>Magnet Permitting</t>
  </si>
  <si>
    <t>Gen Geothermal (10NY)</t>
  </si>
  <si>
    <t>SEG Figures</t>
  </si>
  <si>
    <t>Flood Response</t>
  </si>
  <si>
    <t>All</t>
  </si>
  <si>
    <t>Day</t>
  </si>
  <si>
    <t>Biennial 2014</t>
  </si>
  <si>
    <t>SNWA E NV Report</t>
  </si>
  <si>
    <t>Major Mines 2015</t>
  </si>
  <si>
    <t>MI 2015</t>
  </si>
  <si>
    <t>Lee Allison Plaque</t>
  </si>
  <si>
    <t>Update Active Mines</t>
  </si>
  <si>
    <t>Exploration Survey</t>
  </si>
  <si>
    <t>SP16 LV Tour Reprint</t>
  </si>
  <si>
    <t>Clayton Valley</t>
  </si>
  <si>
    <t>Red Ridge Quad OFR</t>
  </si>
  <si>
    <t>Terrill Mountains</t>
  </si>
  <si>
    <t>Sweetwater Range</t>
  </si>
  <si>
    <t>IPO</t>
  </si>
  <si>
    <t>Kinsley Mountains North</t>
  </si>
  <si>
    <t>Outreach Opportunities FY18</t>
  </si>
  <si>
    <t>Work Admin</t>
  </si>
  <si>
    <t>Gen. Admin</t>
  </si>
  <si>
    <t>Misc. Requests</t>
  </si>
  <si>
    <t>IT/Comp/Software</t>
  </si>
  <si>
    <t>General Work Planning</t>
  </si>
  <si>
    <t>Other</t>
  </si>
  <si>
    <t>#</t>
  </si>
  <si>
    <t>Rate</t>
  </si>
  <si>
    <t>SM17 Wellington GIS Digitization</t>
  </si>
  <si>
    <t>SM17 Yerington GIS Digitization</t>
  </si>
  <si>
    <t>Major Mines 2016</t>
  </si>
  <si>
    <t>Washoe Shear Zone Finalization</t>
  </si>
  <si>
    <t>Earth Science Week 2017</t>
  </si>
  <si>
    <t>Check</t>
  </si>
  <si>
    <t>Name</t>
  </si>
  <si>
    <t>Total Billed</t>
  </si>
  <si>
    <t>Apex Quadrangle</t>
  </si>
  <si>
    <t>Welcome Quad</t>
  </si>
  <si>
    <t>BLGCR</t>
  </si>
  <si>
    <t>BLGDB</t>
  </si>
  <si>
    <t>SM17 Master</t>
  </si>
  <si>
    <t>Turkey Figures</t>
  </si>
  <si>
    <t>SP26 HWY50 Reprint</t>
  </si>
  <si>
    <t>Fernley Paper Figures (Faulds)</t>
  </si>
  <si>
    <t>MI 2016</t>
  </si>
  <si>
    <t>BLDCRCT</t>
  </si>
  <si>
    <t>Already billed.  Correction to Hrs for time sheet</t>
  </si>
  <si>
    <t>SM17 Lamoille GIS Migration</t>
  </si>
  <si>
    <t>SM17 Henderson GIS Migration</t>
  </si>
  <si>
    <t>SM17 Independence Valley NE</t>
  </si>
  <si>
    <t>SM17 Mt. Rose NW</t>
  </si>
  <si>
    <t>Forge Fallon</t>
  </si>
  <si>
    <t>Radon Maps</t>
  </si>
  <si>
    <t>PDAC Support</t>
  </si>
  <si>
    <t>P &amp; M 1st Half 2017 FY17</t>
  </si>
  <si>
    <t>P &amp; M 2nd Half 2017 FY18</t>
  </si>
  <si>
    <t>Web Maintenance 2nd Half 2017 FY18</t>
  </si>
  <si>
    <t>P &amp; M 1st Half 2018 FY18</t>
  </si>
  <si>
    <t>Web Maintenance 1st Half 2018 FY18</t>
  </si>
  <si>
    <t>SM17 Frenchman Mountain GIS Migration</t>
  </si>
  <si>
    <t>SM17 Mount Davis GIS Migration</t>
  </si>
  <si>
    <t>LWOP</t>
  </si>
  <si>
    <t>Leave without pay</t>
  </si>
  <si>
    <t>Edit Irrigation</t>
  </si>
  <si>
    <t>Geothermal Play Fairways</t>
  </si>
  <si>
    <t>Outreach</t>
  </si>
  <si>
    <t>SM16 Boulder City NV</t>
  </si>
  <si>
    <t>Biennial 2016</t>
  </si>
  <si>
    <t>Preservation Grant</t>
  </si>
  <si>
    <t>Placer Mining Reprint</t>
  </si>
  <si>
    <t>2019 Nevada Geology Calendar</t>
  </si>
  <si>
    <t>Kelly Creek</t>
  </si>
  <si>
    <t>Independent Valley NW (north half)</t>
  </si>
  <si>
    <t>Outreach Opportunities</t>
  </si>
  <si>
    <t>GSN Humboldt Peak (M-series)</t>
  </si>
  <si>
    <t>GSN East Range OFR</t>
  </si>
  <si>
    <t>3DEP</t>
  </si>
  <si>
    <t>FORGP2</t>
  </si>
  <si>
    <t>SM17 Mount Siegel GIS Digitization</t>
  </si>
  <si>
    <t>Footprints Migration</t>
  </si>
  <si>
    <t>BILL</t>
  </si>
  <si>
    <t>IPO Section</t>
  </si>
  <si>
    <t>WO Section</t>
  </si>
  <si>
    <t>Temporary IPO until invoiced</t>
  </si>
  <si>
    <t>Initials Section</t>
  </si>
  <si>
    <t>Billing credit.  Hrs worked on WO(a) but billed on this WO(b).  Applied to add hrs to this WO</t>
  </si>
  <si>
    <t>Billing debit.  Hrs worked on this WO(a) but billed on WO(b).  Applied to subtract hrs from this WO</t>
  </si>
  <si>
    <t>Used for Jen's match account so hrs don't get billed to the WO</t>
  </si>
  <si>
    <t>BOGD</t>
  </si>
  <si>
    <t>BOGC</t>
  </si>
  <si>
    <t>Grant adjustment Credit.  Hrs adjustment.</t>
  </si>
  <si>
    <t>Grant adjustment Debit.  More hours worked than Grant amount.</t>
  </si>
  <si>
    <t>From</t>
  </si>
  <si>
    <t>To</t>
  </si>
  <si>
    <t>Time Worked</t>
  </si>
  <si>
    <t>Time Billed</t>
  </si>
  <si>
    <t>Hot Springs Mountains</t>
  </si>
  <si>
    <t>Barrick Report</t>
  </si>
  <si>
    <t>Status</t>
  </si>
  <si>
    <t>Hawthorne Geothermal</t>
  </si>
  <si>
    <t>Date Opened</t>
  </si>
  <si>
    <t>Date Closed</t>
  </si>
  <si>
    <t>Closed</t>
  </si>
  <si>
    <t>Eglington Fault Study</t>
  </si>
  <si>
    <t>Forge Geologic Map</t>
  </si>
  <si>
    <t>Crescent Valley Map</t>
  </si>
  <si>
    <t>Precious Metal Processing (Smelters)</t>
  </si>
  <si>
    <t>Statemap 2018 Proposal Support</t>
  </si>
  <si>
    <t>Statemap 2017 Factsheet</t>
  </si>
  <si>
    <t>NDEM Mitigation Support</t>
  </si>
  <si>
    <t>Bateman Spring M Series</t>
  </si>
  <si>
    <t>SM16 Caetano Caldera GIS Migration</t>
  </si>
  <si>
    <t>SM16 IXL Canyon quadrangle GIS Conversion</t>
  </si>
  <si>
    <t>SM16 North Peak quadrangle GIS Conversion</t>
  </si>
  <si>
    <t>SM16 McCoy Mining District GIS Digitization</t>
  </si>
  <si>
    <t>SM16 Humboldt Peak quadrangle GIS Migration</t>
  </si>
  <si>
    <t>Calendar, NBMG 2018</t>
  </si>
  <si>
    <t>Assigned</t>
  </si>
  <si>
    <t>Open</t>
  </si>
  <si>
    <t>West Maintenance 1st Half 2017</t>
  </si>
  <si>
    <t>ChartViewer programming in ArcMap</t>
  </si>
  <si>
    <t>Figures for PPT presentation</t>
  </si>
  <si>
    <t>Dog Poop project</t>
  </si>
  <si>
    <t>OF 06-4 Creat a CD for The Timing and Evolution of Cenozoic Extensional Normal Faulting in Southern Tobin Range, pershing County, Nevada</t>
  </si>
  <si>
    <t>Sant Renia Fields Quad geology map</t>
  </si>
  <si>
    <t>Nixon &amp; Wadsworth faults</t>
  </si>
  <si>
    <t>Poster for Division of Minerals - White Pine County</t>
  </si>
  <si>
    <t>Geothermal GIS project</t>
  </si>
  <si>
    <t>The Nevada Mineral Industry 2005</t>
  </si>
  <si>
    <t>NPS Field Trip Guide</t>
  </si>
  <si>
    <t>State Map Project (Reveille Map 104)</t>
  </si>
  <si>
    <t>State Map Map 106 Fire Mountain</t>
  </si>
  <si>
    <t>Poster for Division of Minerals - Pershing County</t>
  </si>
  <si>
    <t>Poster for Division of Minerals - Lyon County</t>
  </si>
  <si>
    <t>Eureka County Mining Claims location map for MSESE</t>
  </si>
  <si>
    <t>State Map 2006 - Map 108 Castle Mountain</t>
  </si>
  <si>
    <t>Lahontan Mountains statemap 2006</t>
  </si>
  <si>
    <t>State Map 2006 (Morman Jack Pass)</t>
  </si>
  <si>
    <t>Statemap 2006 (Mount Moriah_</t>
  </si>
  <si>
    <t>Statemap 2006 (FS 20 Little Horse Canyon)</t>
  </si>
  <si>
    <t>Great Basin Center for Geothermal Energy poster</t>
  </si>
  <si>
    <t>Prepare map of Monte Cristo Range/Blair Junction for EarthCache</t>
  </si>
  <si>
    <t>Convert M141 to ArcMap</t>
  </si>
  <si>
    <t>Replace geology in 24K Ivanpah area OF maps</t>
  </si>
  <si>
    <t>Georeference John Benips map of Virginia Gold Hill and Devils Gate mining district</t>
  </si>
  <si>
    <t>STATEMAP 2007 proposal figures</t>
  </si>
  <si>
    <t>Nevada State Geologic map --OF first??</t>
  </si>
  <si>
    <t>Jerritt Canyon DOQQs reprojected to Jerritt Grid</t>
  </si>
  <si>
    <t>georeference Carson Lake 15 Quad</t>
  </si>
  <si>
    <t>STATEMAP 2007 proposal digitizing project</t>
  </si>
  <si>
    <t>NBMG Cartographic procedure manual OF</t>
  </si>
  <si>
    <t>Upgrade computer equipment for Scanning Project</t>
  </si>
  <si>
    <t>Lighten background for OF96-6 Oil and Gas map</t>
  </si>
  <si>
    <t>Nevada Atlas Book project</t>
  </si>
  <si>
    <t>Bulletin 111 Carlin Reprint</t>
  </si>
  <si>
    <t>State Micrographics Look-Up Form</t>
  </si>
  <si>
    <t>Flat File CD Backups Database (MD_Backups)</t>
  </si>
  <si>
    <t>QA progress Database (MD_QAprog)</t>
  </si>
  <si>
    <t>GEOINDEX (PCfile) moved to Access temporarily</t>
  </si>
  <si>
    <t>SCANs spreadsheet to Access</t>
  </si>
  <si>
    <t>STATEMAP 2005 - North Half of Searchlight Quadrangle</t>
  </si>
  <si>
    <t>Reno/Walker Lake map and figures</t>
  </si>
  <si>
    <t>MI Slides 2005</t>
  </si>
  <si>
    <t>Roadless poster for Div. of Minerals</t>
  </si>
  <si>
    <t>Historical and Prehistoric EQs in the Reno area Craig dePolo</t>
  </si>
  <si>
    <t>GBCGE Brochure</t>
  </si>
  <si>
    <t>StateMap 2005 Jerritt Canyon</t>
  </si>
  <si>
    <t>StateMap 2005 Seven Lakes Mountain</t>
  </si>
  <si>
    <t>Geodetic Infrastructure Bulletin 112</t>
  </si>
  <si>
    <t>Gold from Water SP22</t>
  </si>
  <si>
    <t>Aerial Photo CD Index</t>
  </si>
  <si>
    <t>Mt. Rose scenic byway information from SP19 to Caia Cupito</t>
  </si>
  <si>
    <t>MSESE banquet sign for Connie Parratt</t>
  </si>
  <si>
    <t>Nye County Poster</t>
  </si>
  <si>
    <t>Nevada Petroleum Society publication reprints</t>
  </si>
  <si>
    <t>GSA Figure</t>
  </si>
  <si>
    <t>Journal figures</t>
  </si>
  <si>
    <t>B62 reprints</t>
  </si>
  <si>
    <t>Grant proposal</t>
  </si>
  <si>
    <t>OFR 2006-20 NBMG Biennial Report 2006</t>
  </si>
  <si>
    <t>JOurnal of Vulcanology figures</t>
  </si>
  <si>
    <t>Caetano Geospheres journal figures</t>
  </si>
  <si>
    <t xml:space="preserve">Faulds structural proposal </t>
  </si>
  <si>
    <t>Test Issue - Display HyperLink</t>
  </si>
  <si>
    <t>M154 Meadview text copies</t>
  </si>
  <si>
    <t>OFR87-6 reprint</t>
  </si>
  <si>
    <t>DePolo Historic and Prehistoric EQs in Western NV map</t>
  </si>
  <si>
    <t>Report 17 Turquoise Deposits of Nevada reprint</t>
  </si>
  <si>
    <t>Report 50, Geophysical Setting of the Pahute Mesa-Oasis Valley</t>
  </si>
  <si>
    <t>Bulletin 73 CD copies for Pub Sales</t>
  </si>
  <si>
    <t>NMA teachers workshop fieldtrip guidebook, SP16 Las Vegas Tour book .pdf files for 36 pages</t>
  </si>
  <si>
    <t>Minerals in our environment poster for D.D.</t>
  </si>
  <si>
    <t>M142 Text reprint</t>
  </si>
  <si>
    <t>B62 plates reprints</t>
  </si>
  <si>
    <t>NESC poster</t>
  </si>
  <si>
    <t>GSA Special Publication Figures - White Hills</t>
  </si>
  <si>
    <t>SP16 Geologic Tours in the LV Area Expanded Edition reprint</t>
  </si>
  <si>
    <t>Report 40 Sediment Hosted Precious-Metal Deposits of N. Nevada</t>
  </si>
  <si>
    <t>State Map 2006 (FS 15 Fraizer Creek)</t>
  </si>
  <si>
    <t>State Map 2006 (FS 16 Third Butte East)</t>
  </si>
  <si>
    <t>State Map 2006 (FS 21 Old Mans Canyon)</t>
  </si>
  <si>
    <t>State Map 2006 (Map 109 Wonder Mountain)</t>
  </si>
  <si>
    <t>State Map 2006 (Map 134 Nelson SW)</t>
  </si>
  <si>
    <t>State Map 2006 (Map 135 Willow Creek Reservoir)</t>
  </si>
  <si>
    <t>State Map 2006 (Map 136 Willow Creek Reservoir SE)</t>
  </si>
  <si>
    <t>State map 2006 (Map 137 Hiller Mountain)</t>
  </si>
  <si>
    <t>State Map 2006 (Map 139 Callville Bay)</t>
  </si>
  <si>
    <t>State Map 2006 (Map 140 Government Wash)</t>
  </si>
  <si>
    <t>State Map 2006 (Map 143 Beaver Peak)</t>
  </si>
  <si>
    <t>State Map 2006 (Map 144 Mule Canyon)</t>
  </si>
  <si>
    <t>State Map 2006 (Map 145 Big Bald Mountain)</t>
  </si>
  <si>
    <t>State Map 2006 (Map 146 Frazier Flat and West Half of Moses Rock)</t>
  </si>
  <si>
    <t>State Map 2006 (Map 147 Verdi Peak)</t>
  </si>
  <si>
    <t>book; PROGRESS OR PLUNDER, An environmental companion to Nevada history</t>
  </si>
  <si>
    <t>Scan/repair negatives</t>
  </si>
  <si>
    <t>Ground Displacement table</t>
  </si>
  <si>
    <t>NESC mitigation photos and Table Top booth signs</t>
  </si>
  <si>
    <t>Newberry Mountains slide scans for Faulds</t>
  </si>
  <si>
    <t>Pub Sales, Info Office, and NBMG lobby new signs</t>
  </si>
  <si>
    <t>STATEMAP 2007 Bedell Flat</t>
  </si>
  <si>
    <t>STATEMAP 2007 Marlette Lake</t>
  </si>
  <si>
    <t>STATEMAP 2007 Carson City</t>
  </si>
  <si>
    <t>STATEMAP 2007 Genoa</t>
  </si>
  <si>
    <t>STATEMAP 2007 Washoe City</t>
  </si>
  <si>
    <t>STATEMAP 2007 Crater Flat</t>
  </si>
  <si>
    <t>STATEMAP 2007 Bell Canyon</t>
  </si>
  <si>
    <t>STATEMAP 2007 Moho Mountain</t>
  </si>
  <si>
    <t>STATEMAP 2007 Bell Mountain</t>
  </si>
  <si>
    <t>Rice Mt. Quad township correction stickers</t>
  </si>
  <si>
    <t>Santa Rosa-Calico Bulletin</t>
  </si>
  <si>
    <t>Weather Book Advertisement</t>
  </si>
  <si>
    <t>STATEMAP 2007 Mina</t>
  </si>
  <si>
    <t>STATEMAP 2007 Robinson Summit</t>
  </si>
  <si>
    <t>STATEMAP 2007 Camp Douglas</t>
  </si>
  <si>
    <t>STATEMAP 2007 Diamond Springs</t>
  </si>
  <si>
    <t>STATEMAP 2007 State Line Peak</t>
  </si>
  <si>
    <t>STATEMAP 2007 AI Meadview North</t>
  </si>
  <si>
    <t>STATEMAP 2007 AI Dogskin Mountain</t>
  </si>
  <si>
    <t>STATEMAP 2007 Antler Peak</t>
  </si>
  <si>
    <t>STATEMAP 2007 AI Bobs Flat</t>
  </si>
  <si>
    <t>STATEMAP 2007 Arrow Canyon NW</t>
  </si>
  <si>
    <t>Name signs for new NBMG hires</t>
  </si>
  <si>
    <t>State Map 2006 - Lahontan Mts. &amp; Grimes Point Geology</t>
  </si>
  <si>
    <t>STATEMAP 2006 Master Stockton Flat Well</t>
  </si>
  <si>
    <t>MI-The Nevada Mineral Industry 2006</t>
  </si>
  <si>
    <t>Map 151-.5 size 10 copies, Shevenell</t>
  </si>
  <si>
    <t xml:space="preserve">Geothermal Potential Map </t>
  </si>
  <si>
    <t>Statemap 2006 Jerritt Canyon Master</t>
  </si>
  <si>
    <t>Nevada Earthquake Safety Council (NESC) advertisement for WSSPC/ICC program</t>
  </si>
  <si>
    <t>STATEMAP 08 Proposal Support</t>
  </si>
  <si>
    <t>Clark County Mapping - Jean - print 22 air photos</t>
  </si>
  <si>
    <t>Mineral Industry 2006 Powerpoint Slides</t>
  </si>
  <si>
    <t>Hazus Database Information Update</t>
  </si>
  <si>
    <t>Maps for Governors Renewable Energy Transmission Advisory Committee</t>
  </si>
  <si>
    <t>NBMG Server Set-up and Maintenance</t>
  </si>
  <si>
    <t>Fernley East 1&amp;#58;24,000 scale Geologic Map</t>
  </si>
  <si>
    <t>Stafflist for Publications</t>
  </si>
  <si>
    <t>Major Mines 2006 - NBMG SP P-18</t>
  </si>
  <si>
    <t>Statemap 2006 Master for Lahontan Mtns &amp; part of Grimes Point quadrangles</t>
  </si>
  <si>
    <t>HAZUS Earthquake &amp; Flood Scenarios for NDEM</t>
  </si>
  <si>
    <t>Prelim and Misc - September</t>
  </si>
  <si>
    <t>GBCGE - Poster, modify &amp; reprint and Design T-Shirt</t>
  </si>
  <si>
    <t>PPT Slides (2) for SME 2007</t>
  </si>
  <si>
    <t>WSSPC/ICC Meeting Booth Requirements</t>
  </si>
  <si>
    <t>GRC Field Trip Guide layout and 30 copies Desert Peak-Brady map</t>
  </si>
  <si>
    <t>Statemap Progress Sheet</t>
  </si>
  <si>
    <t>Statemap 2007 FS1 Bettles Well</t>
  </si>
  <si>
    <t>Statemap 2007 GQ1366 Brooks Spring</t>
  </si>
  <si>
    <t>Statemap 2007 M88 Buckskin Mountain</t>
  </si>
  <si>
    <t>Statemap 2007 GQ1731 Chief Mountain</t>
  </si>
  <si>
    <t>Statemap 2007 B71 Derby Dam &amp; Martin Canyon</t>
  </si>
  <si>
    <t>Statemap 2007 2Bg Glenbrook</t>
  </si>
  <si>
    <t>Statemap 2007 GQ1407 Goldrun Creek</t>
  </si>
  <si>
    <t>Statemap 2007 GQ1701 Indian Cove</t>
  </si>
  <si>
    <t>Statemap 2007 GQ1175 Iron Point</t>
  </si>
  <si>
    <t>Statemap 2007 GQ1672 Jake Creek Mountain</t>
  </si>
  <si>
    <t>Convert Transmission Lines to Shapefile</t>
  </si>
  <si>
    <t>Earth Science Week Field Trip Map</t>
  </si>
  <si>
    <t>Prelim and Misc - October</t>
  </si>
  <si>
    <t>Revisions to Iceberg Canyon Quad (OF3-18)</t>
  </si>
  <si>
    <t>Stockton Flat Well Revisions for OF07-5</t>
  </si>
  <si>
    <t>Jerritt Canyon Revisions for OF07-3</t>
  </si>
  <si>
    <t>Lahontan Mtns Revisions for OF07-4</t>
  </si>
  <si>
    <t>Sagehen Creek Field Station Preliminary Geologic Map</t>
  </si>
  <si>
    <t>SP5 (Child of the Rocks) Reprint</t>
  </si>
  <si>
    <t>E-16 (Eqs in Nevada) Reprint</t>
  </si>
  <si>
    <t>M162 Petroleum Data Map of Nevada</t>
  </si>
  <si>
    <t>Plan Development for new NV State Geologic Map</t>
  </si>
  <si>
    <t>Searchlight Quad, South Half Map Completion</t>
  </si>
  <si>
    <t>Fernley West, North, Map Completion</t>
  </si>
  <si>
    <t>Fernley East Map Completion</t>
  </si>
  <si>
    <t>Style Guide for Publications</t>
  </si>
  <si>
    <t>NBMG Report 52 - CO2 Sequestration</t>
  </si>
  <si>
    <t>Prep Work for NBMG Online Publication Inventory</t>
  </si>
  <si>
    <t>DOM Presentation of Multi-modal Shared GIS Capability</t>
  </si>
  <si>
    <t>Prelim and Misc - November</t>
  </si>
  <si>
    <t>Statemap 2007 GQ1714 Weiser Ridge</t>
  </si>
  <si>
    <t>Research, Verify and Update Statemap Deliverables thru 2006</t>
  </si>
  <si>
    <t>Reprint R40 Sediment-Hosted Precious-Metal Deposits</t>
  </si>
  <si>
    <t>OF07-1 HAZUS Earthquake update</t>
  </si>
  <si>
    <t>DOM - GIS Support for Renewables/Transmission Task Force</t>
  </si>
  <si>
    <t>OF07-2 HAZUS Flood update and publication</t>
  </si>
  <si>
    <t>Install Hazus/MR3</t>
  </si>
  <si>
    <t>Technology for document on ArcGeology Best Practice</t>
  </si>
  <si>
    <t>Prepare a pilot piece of the ArcGeology Best Practices document</t>
  </si>
  <si>
    <t>GSA Field Trip figure</t>
  </si>
  <si>
    <t>Statemap 2007 4Bg Mount Rose NE</t>
  </si>
  <si>
    <t>Statemap 2007 1Bg New Empire</t>
  </si>
  <si>
    <t>Statemap 2007 2Ag South Lake Tahoe</t>
  </si>
  <si>
    <t>Statemap 2007 4Fg Steamboat</t>
  </si>
  <si>
    <t>Statemap 2007 Master GIS Conversion</t>
  </si>
  <si>
    <t>GSA 2007 Presentation</t>
  </si>
  <si>
    <t>Prelim and Misc - December</t>
  </si>
  <si>
    <t>Prelim and Misc - January</t>
  </si>
  <si>
    <t>Highway 93 in Nevada and Arizona</t>
  </si>
  <si>
    <t>Evaluation of Mapdata for Liz Crafford Map</t>
  </si>
  <si>
    <t>DOM Mining District Webmap Application and Training</t>
  </si>
  <si>
    <t>Set-up Webmapping Server</t>
  </si>
  <si>
    <t>Clark County 2008 GIS Support Master</t>
  </si>
  <si>
    <t>Prelim and Misc - February</t>
  </si>
  <si>
    <t>Make Seven Lakes Mtn Ready for Review</t>
  </si>
  <si>
    <t>Web Training and Maintenance</t>
  </si>
  <si>
    <t>Crafford State Geologic Map @ 1&amp;#58;500,000</t>
  </si>
  <si>
    <t>Reprints of Geology &amp; Mineral Deposits for Clark County &amp; for Lincoln County</t>
  </si>
  <si>
    <t>Wells NV 21Feb08 EQ Support</t>
  </si>
  <si>
    <t>Statemap 2007 Mineral Hill</t>
  </si>
  <si>
    <t>Statemap 2007 Piper Peak</t>
  </si>
  <si>
    <t>Statemap 2007 Rhyolite Ridge</t>
  </si>
  <si>
    <t>Statemap 2007 Round Mountain</t>
  </si>
  <si>
    <t>Statemap 2007 Rye Patch Reservoir South</t>
  </si>
  <si>
    <t>Statemap 2007 Tonopah, Lone Mountain, Klondike, N. Mud Lake</t>
  </si>
  <si>
    <t>Prelim and Misc - March</t>
  </si>
  <si>
    <t>Update Statemap 2008 Fact Sheet</t>
  </si>
  <si>
    <t>SP6 Mining Claim Procedures 6th Edition Reprint - Cancelled</t>
  </si>
  <si>
    <t>Revised Searchlight Inset Map</t>
  </si>
  <si>
    <t>Iceberg Canyon GIS Conversion</t>
  </si>
  <si>
    <t>Mineral-Esmeralda-Lyon-Douglas (MELD) County Posters</t>
  </si>
  <si>
    <t>Figures for Walker Lane Evolution Article</t>
  </si>
  <si>
    <t>Prelim and Misc - April</t>
  </si>
  <si>
    <t>Web Training and Maintenance - 2nd Qtr 2008</t>
  </si>
  <si>
    <t>Davis Dam GIS Conversion</t>
  </si>
  <si>
    <t>Convert Virginia City Quad to GIS</t>
  </si>
  <si>
    <t>ArcGIS 9.3 Beta Installation and Testing</t>
  </si>
  <si>
    <t>FGDC 2006 Representations</t>
  </si>
  <si>
    <t>Nevada Geothermal Resources - Update of Map141 (3rd edition)</t>
  </si>
  <si>
    <t>Significant Mineral Deposits</t>
  </si>
  <si>
    <t>SP27 Edits for RGJ Sunday Edition</t>
  </si>
  <si>
    <t>Prelim and Misc - May</t>
  </si>
  <si>
    <t>Statemap 2008 GIS Conversion Master</t>
  </si>
  <si>
    <t>Web Tourbooks Pilot Project</t>
  </si>
  <si>
    <t>Vigilant Guard Exercise</t>
  </si>
  <si>
    <t>Prelim &amp; Misc - June</t>
  </si>
  <si>
    <t>Huntsman Ranch GIS Conversion</t>
  </si>
  <si>
    <t>Interactive Maps for Great Basin Center for Geothermal Energy</t>
  </si>
  <si>
    <t>Ninehill Figure</t>
  </si>
  <si>
    <t>Digitize Northern Pequop Mtns and Wood Hills - Cancelled</t>
  </si>
  <si>
    <t>Major Mines of Nevada 2007 - P-19</t>
  </si>
  <si>
    <t>CM08 Clarkmap Spirit Mountain SE (GIS)</t>
  </si>
  <si>
    <t>CM08 Clarkmap Gass Peak SW (New)</t>
  </si>
  <si>
    <t>CM08 Clarkmap Ireteba Peaks (New)</t>
  </si>
  <si>
    <t>CM08 Clarkmap Jean (New)</t>
  </si>
  <si>
    <t>CM08 Clarkmap Ute (New)</t>
  </si>
  <si>
    <t xml:space="preserve">SM08 Bateman Spring </t>
  </si>
  <si>
    <t>SM08 Cooper Peak</t>
  </si>
  <si>
    <t>SM08 Deadman Spring SE</t>
  </si>
  <si>
    <t>SM08 Desert Peak-Brady</t>
  </si>
  <si>
    <t>SM08 Fire Mountain</t>
  </si>
  <si>
    <t>SM08 Gardnerville</t>
  </si>
  <si>
    <t>SM08 Granite Peak</t>
  </si>
  <si>
    <t>SM08 Horse Springs</t>
  </si>
  <si>
    <t>SM08 La Plata Canyon</t>
  </si>
  <si>
    <t>SM08 Magruder Mountain</t>
  </si>
  <si>
    <t>SM08 Minden</t>
  </si>
  <si>
    <t>SM08 Moapa West</t>
  </si>
  <si>
    <t>SM08 Olinghouse</t>
  </si>
  <si>
    <t>SM08 Pahroc Spring SE</t>
  </si>
  <si>
    <t>SM08 Pahrump</t>
  </si>
  <si>
    <t>SM08 Pintail Bay</t>
  </si>
  <si>
    <t>SM08 Pirouette Mountain</t>
  </si>
  <si>
    <t>SM08 Riverside</t>
  </si>
  <si>
    <t>SM08 Rose Valley</t>
  </si>
  <si>
    <t>SM08 Santa Renia Fields</t>
  </si>
  <si>
    <t>SM08 Sixmile Spring</t>
  </si>
  <si>
    <t>SM08 Sutcliffe</t>
  </si>
  <si>
    <t>SM08 Whitney Pocket</t>
  </si>
  <si>
    <t>Lee-Allen Geothermal Mapping</t>
  </si>
  <si>
    <t>Prelim and Misc - July</t>
  </si>
  <si>
    <t>Web Maintenance - 3rd Qtr - 08</t>
  </si>
  <si>
    <t>Digitize Northern Pequop Mountains</t>
  </si>
  <si>
    <t>Digitize Wood Hills</t>
  </si>
  <si>
    <t>ArcGeology v1.3 Data Model</t>
  </si>
  <si>
    <t>NBMG Web 2.0 Design and Development</t>
  </si>
  <si>
    <t>Development of Ground Water Recharge Estimates in Nevada</t>
  </si>
  <si>
    <t>Prelim and Misc - August</t>
  </si>
  <si>
    <t>Mineral Industry 2007 and Powerpoint Slides</t>
  </si>
  <si>
    <t>RETAAC II - Support</t>
  </si>
  <si>
    <t xml:space="preserve">Postcard Reprints </t>
  </si>
  <si>
    <t>Southern Washoe County Compilation - Pilot</t>
  </si>
  <si>
    <t>M and E (Minerals and Energy) Webmap</t>
  </si>
  <si>
    <t>Nye County Minerals and Energy Poster</t>
  </si>
  <si>
    <t>Posters for MINEXPO</t>
  </si>
  <si>
    <t>Long Valley Photos</t>
  </si>
  <si>
    <t>Earth Science Week 08 Web Postings</t>
  </si>
  <si>
    <t>University Lands Webmap</t>
  </si>
  <si>
    <t>2008 NBMG Web Server Set-up</t>
  </si>
  <si>
    <t>Wells Area Geologic Map</t>
  </si>
  <si>
    <t>Hazus Earthquake Scenarios</t>
  </si>
  <si>
    <t>Great Basin Center for Geothermal Energy Poster</t>
  </si>
  <si>
    <t>SM07 Spirit Mountain NW, North Half</t>
  </si>
  <si>
    <t>Web Maintenance - 4th Qtr - 08</t>
  </si>
  <si>
    <t>Statemap 2009 GIS Proposal</t>
  </si>
  <si>
    <t>Cortez/Caetano Caldera Map</t>
  </si>
  <si>
    <t>Geothermal Potential Map</t>
  </si>
  <si>
    <t>Flowery Peak</t>
  </si>
  <si>
    <t>Clark County 2009 GIS Support Master</t>
  </si>
  <si>
    <t>Turkey Geothermal Project Figures</t>
  </si>
  <si>
    <t>Prelim &amp; Misc - December</t>
  </si>
  <si>
    <t>SP-22 Gold From Water Reprint</t>
  </si>
  <si>
    <t>SM08 - Grimes Point Geologic Map</t>
  </si>
  <si>
    <t>Web Maintenance - 1st Qtr - 09</t>
  </si>
  <si>
    <t>CM09 Devils Throat (Legacy)</t>
  </si>
  <si>
    <t>Lahontan Mountains Revision (OF 07-4, R2)</t>
  </si>
  <si>
    <t>Minden Revision (OF03-13, R2</t>
  </si>
  <si>
    <t>McTarnahan Hill Revision</t>
  </si>
  <si>
    <t>Major Mines 2007 Reprint</t>
  </si>
  <si>
    <t>Wells Earthquake Report</t>
  </si>
  <si>
    <t>Flotation Project Figure</t>
  </si>
  <si>
    <t>VRM Map for BLM</t>
  </si>
  <si>
    <t>Prelim &amp; Misc - April</t>
  </si>
  <si>
    <t>Web Maintenance - 2nd Qtr - 09</t>
  </si>
  <si>
    <t>Ninehill Map and Figure Finalization</t>
  </si>
  <si>
    <t>CM09 Prepare Searchlight for Review</t>
  </si>
  <si>
    <t>Prelim &amp; Misc - May</t>
  </si>
  <si>
    <t>Scan &amp; Georeference BLM Maps</t>
  </si>
  <si>
    <t>Factsheet Update Incl SM09</t>
  </si>
  <si>
    <t>SM08 Lower Walker River SH</t>
  </si>
  <si>
    <t>ArcSDE Set-up</t>
  </si>
  <si>
    <t>SM09 GIS Conversion Master</t>
  </si>
  <si>
    <t>SM09 Argenta</t>
  </si>
  <si>
    <t>SM09 Delvada Spring</t>
  </si>
  <si>
    <t>SM09 Flowery Peak</t>
  </si>
  <si>
    <t>Figures for Science Magazine</t>
  </si>
  <si>
    <t>Cross Section Digitizing</t>
  </si>
  <si>
    <t>SM09 Golconda</t>
  </si>
  <si>
    <t>SM09 Griffith Canyon</t>
  </si>
  <si>
    <t>Minerals and Energy Database Design</t>
  </si>
  <si>
    <t>SM09 High Rock Lake</t>
  </si>
  <si>
    <t>SM09 Job Peak</t>
  </si>
  <si>
    <t>SM09 Last Chance Range</t>
  </si>
  <si>
    <t>SM09 McTarnahan Hill</t>
  </si>
  <si>
    <t>Prelim &amp; Misc - July</t>
  </si>
  <si>
    <t>Web Maintenance - 3rd Qtr - 09</t>
  </si>
  <si>
    <t>Desert Queen</t>
  </si>
  <si>
    <t>Geology / GIS Animation</t>
  </si>
  <si>
    <t>Cartography and GIS Cookbook Manual</t>
  </si>
  <si>
    <t>Reno 100K Minerals Database</t>
  </si>
  <si>
    <t>Update NV MRDS Database Locations</t>
  </si>
  <si>
    <t>Statemap 2010 GIS Proposal</t>
  </si>
  <si>
    <t>SM09 Nixon Area</t>
  </si>
  <si>
    <t>SM09 Russells</t>
  </si>
  <si>
    <t>SM09 Tule Peak</t>
  </si>
  <si>
    <t>SM09 Wadsworth</t>
  </si>
  <si>
    <t>SM09 Welches Canyon</t>
  </si>
  <si>
    <t>SM09 Western Humboldt County</t>
  </si>
  <si>
    <t>SM09 Yellow Hills East</t>
  </si>
  <si>
    <t>SM09 Yellow Hills West</t>
  </si>
  <si>
    <t>SM09 Yerington</t>
  </si>
  <si>
    <t>SM09 Yerington District (also Mt. Rose 15-min)</t>
  </si>
  <si>
    <t>Major mines of Nevada - 2008 - P-20</t>
  </si>
  <si>
    <t>Hwy 50 Reprint - SP26</t>
  </si>
  <si>
    <t>CM09 Spirit Mountain NW</t>
  </si>
  <si>
    <t>Earth Science Week Support</t>
  </si>
  <si>
    <t>Prelim &amp; Misc - August</t>
  </si>
  <si>
    <t>SM09 Cortez Geo Map</t>
  </si>
  <si>
    <t>Northern Nye County Poster</t>
  </si>
  <si>
    <t>MI 2008 Slides</t>
  </si>
  <si>
    <t>Vicksburg Canyon</t>
  </si>
  <si>
    <t>Reprint of E-16 - Earthquakes in Nevada and How to Survive Them</t>
  </si>
  <si>
    <t>Hazard Mitigation - Statewide URM Building Inventory</t>
  </si>
  <si>
    <t>Prelim &amp; Misc - September</t>
  </si>
  <si>
    <t>CM10 Clarkmap 2010 Admin Master</t>
  </si>
  <si>
    <t>CM10 Gass Peak SW</t>
  </si>
  <si>
    <t>CM10 Ireteba Peaks</t>
  </si>
  <si>
    <t>CM10 Jean</t>
  </si>
  <si>
    <t>SM08 Hazen WH</t>
  </si>
  <si>
    <t>GRC Poster - Research At the Great Basin Center for Geothermal Energy</t>
  </si>
  <si>
    <t>Update GBCGE Brochures</t>
  </si>
  <si>
    <t>Web Maintenance - 4th Qtr - 09</t>
  </si>
  <si>
    <t>City of Reno Prints</t>
  </si>
  <si>
    <t>Update 09-1 - Geothermal Potential and Exploration Map</t>
  </si>
  <si>
    <t>Navy - Hawthorne Geologic Map/BR16</t>
  </si>
  <si>
    <t>Mineral Industry 2008</t>
  </si>
  <si>
    <t>SM09 - New Geologic Mapping in the Reno Area</t>
  </si>
  <si>
    <t>NGDS - National Geothermal Data System</t>
  </si>
  <si>
    <t>SP27 Update - Living With Earthquakes in Nevada</t>
  </si>
  <si>
    <t>Ivanpah Valley Report</t>
  </si>
  <si>
    <t>SM09 Lower Walker River North Half</t>
  </si>
  <si>
    <t>Active Mines Poster E-49</t>
  </si>
  <si>
    <t>Reese River Geology</t>
  </si>
  <si>
    <t>Q-Faults Interactive Map</t>
  </si>
  <si>
    <t>Surface Hydrology Map Figure for NHMP update</t>
  </si>
  <si>
    <t>Active Mines in Nevada</t>
  </si>
  <si>
    <t>Prelim &amp; Misc - January</t>
  </si>
  <si>
    <t>Web Maintenance - 1st Qtr - 10</t>
  </si>
  <si>
    <t>Summit Engineering - Lander FIND Project</t>
  </si>
  <si>
    <t>E-16 Update and Printing</t>
  </si>
  <si>
    <t>Prelim &amp; Misc - February</t>
  </si>
  <si>
    <t>Oxley Peak Geologic Map Revisions</t>
  </si>
  <si>
    <t>Prelim &amp; Misc - March</t>
  </si>
  <si>
    <t>Hazus Flood Runs</t>
  </si>
  <si>
    <t>Lee-Allen Geologic Map</t>
  </si>
  <si>
    <t>Prelim &amp; Misc April</t>
  </si>
  <si>
    <t>Web Maintenance - 2nd Qtr - 10</t>
  </si>
  <si>
    <t>CM10 Mt. Manchester</t>
  </si>
  <si>
    <t>Mineral Assessment of Nevada, Mineral Deposit Database</t>
  </si>
  <si>
    <t>Prelim &amp; Misc May</t>
  </si>
  <si>
    <t>Figures for Desert Peak / Desert Queen</t>
  </si>
  <si>
    <t>Factsheet update including SM10</t>
  </si>
  <si>
    <t>Grimes Point</t>
  </si>
  <si>
    <t>Prelim &amp; Misc June</t>
  </si>
  <si>
    <t>Figures for Nature-Geoscience Journal</t>
  </si>
  <si>
    <t>Figure for Jerritt</t>
  </si>
  <si>
    <t>MI2009 - Nevada Mineral Industry 2009</t>
  </si>
  <si>
    <t>Mark Walker Project</t>
  </si>
  <si>
    <t>Clark County Q Map</t>
  </si>
  <si>
    <t>GRC Poster</t>
  </si>
  <si>
    <t>Figures for Cortez Geochem Manuscript</t>
  </si>
  <si>
    <t>Prelim &amp; Misc July</t>
  </si>
  <si>
    <t>Web Maintenance - 3rd Qtr - 10</t>
  </si>
  <si>
    <t>Statemap 2011 Proposal</t>
  </si>
  <si>
    <t>GIS Conversion Master SM10</t>
  </si>
  <si>
    <t>SM10 Antler Peak</t>
  </si>
  <si>
    <t>SM10 Belmont West</t>
  </si>
  <si>
    <t>SM10 Bullfrog NE 1/4</t>
  </si>
  <si>
    <t>SM10 Bullfrog NW 1/4</t>
  </si>
  <si>
    <t>SM10 Cherry Creek &amp; Egan Ranges</t>
  </si>
  <si>
    <t>SM10 Ely</t>
  </si>
  <si>
    <t>SM10 Galena Canyon</t>
  </si>
  <si>
    <t>SM10 Goldyke</t>
  </si>
  <si>
    <t>SM10 Hot Springs Peak</t>
  </si>
  <si>
    <t>SM10 Jefferson</t>
  </si>
  <si>
    <t>SM10 Manhattan</t>
  </si>
  <si>
    <t>SM10 Nine Hill Paleovalley</t>
  </si>
  <si>
    <t>SM10 Northern Shoshone Range</t>
  </si>
  <si>
    <t>SM10 Oak Spring Butte</t>
  </si>
  <si>
    <t>SM10 Pah Rah Mountain East 1/2</t>
  </si>
  <si>
    <t>SM10 Riepetown</t>
  </si>
  <si>
    <t>SM10 Rodeo Creek NE</t>
  </si>
  <si>
    <t>SM10 Ruth</t>
  </si>
  <si>
    <t>SM10 Skull Mountain</t>
  </si>
  <si>
    <t>SM10 Specter Range NW</t>
  </si>
  <si>
    <t>SM10 Valmy</t>
  </si>
  <si>
    <t>Desert Peak / Brady Map Update</t>
  </si>
  <si>
    <t>Robert Speed Memorial Collection Webpages</t>
  </si>
  <si>
    <t>ESW 2010 - Earth Science Week 10/16 &amp; 10/17</t>
  </si>
  <si>
    <t>CM10 Ute</t>
  </si>
  <si>
    <t>Revise Nature Geoscience Figures</t>
  </si>
  <si>
    <t>Prelim &amp; Misc</t>
  </si>
  <si>
    <t>Web Maintenance - 4th qtr - 2010</t>
  </si>
  <si>
    <t>Major Mines 2009</t>
  </si>
  <si>
    <t>Northern California Epicenter Maps</t>
  </si>
  <si>
    <t>Prelim &amp; Misc - November</t>
  </si>
  <si>
    <t>Interactive Web Map 161</t>
  </si>
  <si>
    <t>SM10 New Geologic Mapping in the Reno Area</t>
  </si>
  <si>
    <t>Reese River</t>
  </si>
  <si>
    <t>CM11 Jean</t>
  </si>
  <si>
    <t>CM11 Clarkmap Master</t>
  </si>
  <si>
    <t>Web Maintenance - 1st qtr - 2011</t>
  </si>
  <si>
    <t>San Emidio Geologic Map</t>
  </si>
  <si>
    <t>Open-file dePolo Earthquake reports</t>
  </si>
  <si>
    <t>Revise and Clean-up Lower Walker River</t>
  </si>
  <si>
    <t>Publish Iceberg Canyon</t>
  </si>
  <si>
    <t>Hazard Website Development and Implementation for FEMA</t>
  </si>
  <si>
    <t>Reese River OF11-3</t>
  </si>
  <si>
    <t>Web Maintenance - 2nd qtr - 2011</t>
  </si>
  <si>
    <t>Major Mines of Nevada 2010</t>
  </si>
  <si>
    <t>Hazus worst-case scenario Genoa</t>
  </si>
  <si>
    <t>Web Maintenance - 3rd qtr - 2011</t>
  </si>
  <si>
    <t>Sahwave and Nightingale Ranges Map</t>
  </si>
  <si>
    <t>SEPM Fall Field Trip Tours Map</t>
  </si>
  <si>
    <t>NW Lone Mountain and Weepah Hills Piedmonts Open-file</t>
  </si>
  <si>
    <t>Pyramid Lake Reservation Mapping</t>
  </si>
  <si>
    <t>SM11 South Eureka Mining District</t>
  </si>
  <si>
    <t>Statemap 2012 Proposal</t>
  </si>
  <si>
    <t>Factsheet update including SM11</t>
  </si>
  <si>
    <t>SM10 Bunejug Mountains</t>
  </si>
  <si>
    <t>Caetano Map</t>
  </si>
  <si>
    <t>Earth Science Week Field Trip</t>
  </si>
  <si>
    <t>Seismicity Map of Nevada</t>
  </si>
  <si>
    <t>CM11 Ute</t>
  </si>
  <si>
    <t>SM11 Austin</t>
  </si>
  <si>
    <t>SM11 Belmont East</t>
  </si>
  <si>
    <t>SM11 Bristol Well</t>
  </si>
  <si>
    <t>SM11 Bull Run Mountains</t>
  </si>
  <si>
    <t>SM11 Chalk Hills</t>
  </si>
  <si>
    <t>SM11 Charles Sheldon Wildlife Refuge</t>
  </si>
  <si>
    <t>SM11 Corcoran Canyon</t>
  </si>
  <si>
    <t>SM11 Coyote Spring</t>
  </si>
  <si>
    <t>SM11 Delamar 3 SE</t>
  </si>
  <si>
    <t>SM11 Delamar Lake</t>
  </si>
  <si>
    <t>SM11 Hunter</t>
  </si>
  <si>
    <t>SM11 Izzenhood Spring</t>
  </si>
  <si>
    <t>SM11 Lathrop Wells</t>
  </si>
  <si>
    <t>SM11 Mable Mountain</t>
  </si>
  <si>
    <t>SM11 Mina (Quaternary)</t>
  </si>
  <si>
    <t>SM11 Mountain City NW 1/4</t>
  </si>
  <si>
    <t>SM11 Mountain City SW 1/4</t>
  </si>
  <si>
    <t>SM11 Mt. Moriah</t>
  </si>
  <si>
    <t>SM11 Pamlico</t>
  </si>
  <si>
    <t>SM11 Peko Hills</t>
  </si>
  <si>
    <t>SM11 Rattlesnake Flat</t>
  </si>
  <si>
    <t>SM11 Rice Mountain</t>
  </si>
  <si>
    <t>SM11 Scarecrow Peak</t>
  </si>
  <si>
    <t>SM11 Schurz</t>
  </si>
  <si>
    <t>SM11 Snow Gulch</t>
  </si>
  <si>
    <t>SM11 Sodaville</t>
  </si>
  <si>
    <t>SM11 Southern Sand Springs Range</t>
  </si>
  <si>
    <t>SM11 Spring Mountain</t>
  </si>
  <si>
    <t>SM11 Striped Hills</t>
  </si>
  <si>
    <t>SM11 Table Mountain</t>
  </si>
  <si>
    <t>SM11 The Cove</t>
  </si>
  <si>
    <t>SM11 The Lehman Caves</t>
  </si>
  <si>
    <t>SM11 White Horse Pass Area</t>
  </si>
  <si>
    <t>SM11 Windy Peak</t>
  </si>
  <si>
    <t>SM11 Yucca Lake</t>
  </si>
  <si>
    <t>CM11 Whitney Pocket</t>
  </si>
  <si>
    <t>Prelim &amp; Misc -</t>
  </si>
  <si>
    <t>Web Maintenance - 4th qtr - 2011</t>
  </si>
  <si>
    <t>SM10 Hazen</t>
  </si>
  <si>
    <t>Moses Rock</t>
  </si>
  <si>
    <t>Summit Engineering - FIND Project</t>
  </si>
  <si>
    <t>Nevada Pagesize Geology</t>
  </si>
  <si>
    <t>Snowstorm</t>
  </si>
  <si>
    <t>EQ Hazards Reduction</t>
  </si>
  <si>
    <t>Web Maintenance - 1st qtr - 2012</t>
  </si>
  <si>
    <t>Strain Map of Nevada</t>
  </si>
  <si>
    <t>Calendar, NBMG, 2013</t>
  </si>
  <si>
    <t>Finalize Searchlight for M-Series</t>
  </si>
  <si>
    <t>Soda Lakes Cross Sections</t>
  </si>
  <si>
    <t>Fernley Mapping</t>
  </si>
  <si>
    <t>Mineral Industry 2010</t>
  </si>
  <si>
    <t>Web Maintenance - 2nd qtr - 2012</t>
  </si>
  <si>
    <t>Dixie Valley</t>
  </si>
  <si>
    <t>Mahogany Hills</t>
  </si>
  <si>
    <t>Web Maintenance - 3rd qtr - 2012</t>
  </si>
  <si>
    <t>GIS Conversion Master</t>
  </si>
  <si>
    <t>SM12 Ackerman Canyon</t>
  </si>
  <si>
    <t>SM12 Adobe Range, Northern</t>
  </si>
  <si>
    <t>SM12 Basalt</t>
  </si>
  <si>
    <t>SM12 Blue Basin</t>
  </si>
  <si>
    <t>SM12 Buffalo Mountain</t>
  </si>
  <si>
    <t>SM12 Camp Desert Rock</t>
  </si>
  <si>
    <t>SM12 Coal Mine Basin</t>
  </si>
  <si>
    <t>SM12 Geo Map of North-Central Nevada</t>
  </si>
  <si>
    <t>SM12 Granite Mountain</t>
  </si>
  <si>
    <t>SM12 Independence Mtns, southern</t>
  </si>
  <si>
    <t>SM12 Kelly Creek</t>
  </si>
  <si>
    <t>SM12 Middlegate Area</t>
  </si>
  <si>
    <t>SM12 Miller Mountain &amp; Columbus</t>
  </si>
  <si>
    <t>SM12 Mount Callaghan</t>
  </si>
  <si>
    <t>SM12 Nopah Peak NE 1/4</t>
  </si>
  <si>
    <t>SM12 Oasis Valley Basin &amp; Vicinity</t>
  </si>
  <si>
    <t>SM12 Oxley Peak Area</t>
  </si>
  <si>
    <t>SM12 Plutonium Valley</t>
  </si>
  <si>
    <t>SM12 Snowstorm Mountains and Vicinity</t>
  </si>
  <si>
    <t>SM12 Southern Snake Mountain</t>
  </si>
  <si>
    <t>SM12 Spencer Hot Springs</t>
  </si>
  <si>
    <t>SM12 Stewart Valley NE 1/4</t>
  </si>
  <si>
    <t>SM12 Toquima Caldera Complex</t>
  </si>
  <si>
    <t>SM12 Unionville</t>
  </si>
  <si>
    <t>SM11 Desert Peak</t>
  </si>
  <si>
    <t>GRC Posters</t>
  </si>
  <si>
    <t>Database Management for DOM</t>
  </si>
  <si>
    <t>Kings Canyon Fault Zone</t>
  </si>
  <si>
    <t>Arizona Geological Survey/Doe/Nat'l Geothermal Data System</t>
  </si>
  <si>
    <t>Exploration Survey for DOM</t>
  </si>
  <si>
    <t>Geologic Framework Studies for DOM</t>
  </si>
  <si>
    <t>Hazard Mitigation Proj Act 1-4</t>
  </si>
  <si>
    <t>Integration of URM data into Hazus - Activity 1B</t>
  </si>
  <si>
    <t>MyPlan Website Update</t>
  </si>
  <si>
    <t>Eureka</t>
  </si>
  <si>
    <t>GRC Poster Printing</t>
  </si>
  <si>
    <t>CM12 Corn Creek Springs NW</t>
  </si>
  <si>
    <t>CM12 Fourth of July Mtn N 1/2</t>
  </si>
  <si>
    <t>CM12 Davis Dam</t>
  </si>
  <si>
    <t>CM12 Ireteba Peaks</t>
  </si>
  <si>
    <t>CM12 Spirit Mountain NW</t>
  </si>
  <si>
    <t>CM12 Valley GIS Conversion</t>
  </si>
  <si>
    <t>High Rock Caldera</t>
  </si>
  <si>
    <t>McDermitt Caldera</t>
  </si>
  <si>
    <t>Neal (Joel Edwards)</t>
  </si>
  <si>
    <t>Tuscarora (Greg Dering)</t>
  </si>
  <si>
    <t>Emerson Pass (Ryan Anderson)</t>
  </si>
  <si>
    <t>Major Mines of Nevada 2011</t>
  </si>
  <si>
    <t>dePolo Magnitude OFR</t>
  </si>
  <si>
    <t>Factsheet Update Statemap 2012</t>
  </si>
  <si>
    <t>Eureka Paper</t>
  </si>
  <si>
    <t>MI 2011</t>
  </si>
  <si>
    <t>Web Maintenance</t>
  </si>
  <si>
    <t>Historical EQ's Slideshow</t>
  </si>
  <si>
    <t>Nevada State Board on Geographic Names</t>
  </si>
  <si>
    <t>Mount Manchester</t>
  </si>
  <si>
    <t>Riverside Conversion</t>
  </si>
  <si>
    <t>Bunejug Mountains</t>
  </si>
  <si>
    <t>Southern Lake Range Geologic Map</t>
  </si>
  <si>
    <t>UNR Quad Map for Leah</t>
  </si>
  <si>
    <t>Minden</t>
  </si>
  <si>
    <t>Template Geodatabase</t>
  </si>
  <si>
    <t>Calendar, NBMG, 2014</t>
  </si>
  <si>
    <t>Valley of Fire East</t>
  </si>
  <si>
    <t>SM12 Wabuska</t>
  </si>
  <si>
    <t>SM12 West Gate Quad</t>
  </si>
  <si>
    <t>Mining District Files Web Update</t>
  </si>
  <si>
    <t>Las Vegas Valley Figures</t>
  </si>
  <si>
    <t>Mineral Assessment of DNWR</t>
  </si>
  <si>
    <t>Arizona Geological Survey Geothermal Task 11</t>
  </si>
  <si>
    <t>Douglas County Hazard Mitigation</t>
  </si>
  <si>
    <t>Statemap 2013 Proposal</t>
  </si>
  <si>
    <t>Statemap 2014 Proposal</t>
  </si>
  <si>
    <t>Finalization of Subhash Report</t>
  </si>
  <si>
    <t>Factsheet Update incl SM13</t>
  </si>
  <si>
    <t>Webs Edge Film</t>
  </si>
  <si>
    <t>On-Site Drilling</t>
  </si>
  <si>
    <t>Website re-design for NHMPC and NESC</t>
  </si>
  <si>
    <t>BR16 Map</t>
  </si>
  <si>
    <t>CREG Website Re-design</t>
  </si>
  <si>
    <t>SM13 Statemap 2013 Admin Master</t>
  </si>
  <si>
    <t>SM13 North Grant Range</t>
  </si>
  <si>
    <t>SM13 Mt Rose Quadrangle</t>
  </si>
  <si>
    <t>SM13 Farrier GIS Conversion</t>
  </si>
  <si>
    <t>SM13 Frenchie Creek Quadrangle GIS Conversion</t>
  </si>
  <si>
    <t>SM13 Lee Quadrangle GIS Conversion</t>
  </si>
  <si>
    <t>SM13 Ruby Mountains GIS Conversion</t>
  </si>
  <si>
    <t>SM13 Spruce Mountain 4 GIS Conversion</t>
  </si>
  <si>
    <t>SM13 Elko Hills GIS Conversion</t>
  </si>
  <si>
    <t>SM13 Windermere Hills GIS Conversion</t>
  </si>
  <si>
    <t>Sage Grouse Maps</t>
  </si>
  <si>
    <t>Active Mines Map Update</t>
  </si>
  <si>
    <t>Major Mines 2012</t>
  </si>
  <si>
    <t>Eglington Fault OFR</t>
  </si>
  <si>
    <t>Earthquake Figures</t>
  </si>
  <si>
    <t>Web Maintenance 1st Half 2014</t>
  </si>
  <si>
    <t>Mineral Industry 2012</t>
  </si>
  <si>
    <t>South Eureka M-Series</t>
  </si>
  <si>
    <t>Terrill Mountains (Chad Carlson)</t>
  </si>
  <si>
    <t>SM14 Heelfly Creek</t>
  </si>
  <si>
    <t>Generalize Geology Map-4-Mosaic</t>
  </si>
  <si>
    <t>CREG Brochure</t>
  </si>
  <si>
    <t>Calendar, NBMG, 2015</t>
  </si>
  <si>
    <t>Earth Science Week 2013</t>
  </si>
  <si>
    <t>Directory Sign for Mechanical Engineering Department</t>
  </si>
  <si>
    <t>E-55 - NBMG Educational Series</t>
  </si>
  <si>
    <t>B62 Geology &amp; Mineral Deposits of Clark County</t>
  </si>
  <si>
    <t>Web Maintenance 2nd Half 2014</t>
  </si>
  <si>
    <t>Major Mines 2013</t>
  </si>
  <si>
    <t>Prelim &amp; Misc 2nd Half 2014</t>
  </si>
  <si>
    <t>GRC 2014 Poster</t>
  </si>
  <si>
    <t>Quad Index Map</t>
  </si>
  <si>
    <t>Statemap 2014 Factsheet</t>
  </si>
  <si>
    <t>Salt Paper</t>
  </si>
  <si>
    <t>Statemap 2015 Proposal Support</t>
  </si>
  <si>
    <t>SM14 Pequop Summit</t>
  </si>
  <si>
    <t>Earth Science Week 2014</t>
  </si>
  <si>
    <t>Well Diagrams</t>
  </si>
  <si>
    <t>Shopping Cart Support</t>
  </si>
  <si>
    <t>NBMG Open House Support</t>
  </si>
  <si>
    <t>Emerson Pass Update</t>
  </si>
  <si>
    <t>CREG Website Update</t>
  </si>
  <si>
    <t>NGMDB National Geologic Map Database Project</t>
  </si>
  <si>
    <t>Bald Mountain Mine</t>
  </si>
  <si>
    <t>SM14 Sloan</t>
  </si>
  <si>
    <t>Pinyon Range</t>
  </si>
  <si>
    <t>Seven Troughs</t>
  </si>
  <si>
    <t>Geologic Map TopoBases</t>
  </si>
  <si>
    <t>Web Maintenance 1st Half 2015</t>
  </si>
  <si>
    <t>SM14 Black Hills</t>
  </si>
  <si>
    <t>SM14 Goodsprings District Conversion</t>
  </si>
  <si>
    <t>SM14 Mercury Conversion</t>
  </si>
  <si>
    <t>SM14 Southern Sheep Range</t>
  </si>
  <si>
    <t>Prelim &amp; Misc 1st Half 2015</t>
  </si>
  <si>
    <t>GSN Symposium Booth Materials and Support</t>
  </si>
  <si>
    <t>Mineral Industry 2013</t>
  </si>
  <si>
    <t>Geothermal - Forge</t>
  </si>
  <si>
    <t>CREG Pop-up Display</t>
  </si>
  <si>
    <t>Basemap/Hillshade for The Geysers Map</t>
  </si>
  <si>
    <t>Calendar, NBMG 2016</t>
  </si>
  <si>
    <t>Northern NV Sage Grouse Maps</t>
  </si>
  <si>
    <t>GSN 2015 Symposium Volume Analytical Data</t>
  </si>
  <si>
    <t>EQ and Volcanic Hazards in N NV 1 x 2 degree Quads</t>
  </si>
  <si>
    <t>Web Maintenance 2nd Half 2015</t>
  </si>
  <si>
    <t>Prelim &amp; Misc 2nd Half 2015</t>
  </si>
  <si>
    <t>SM14 Boulder City SE unpub (GIS)</t>
  </si>
  <si>
    <t>SM14 Virgin Peak unpub (GIS)</t>
  </si>
  <si>
    <t>SM14 Whitney Pocket Conversion</t>
  </si>
  <si>
    <t>SM14 Emigrant Pass Conversion</t>
  </si>
  <si>
    <t>Herder Creek</t>
  </si>
  <si>
    <t>Meeting and Conference Attendance</t>
  </si>
  <si>
    <t>Corn Creek Springs NW</t>
  </si>
  <si>
    <t>Flood Research</t>
  </si>
  <si>
    <t>Earth Science Week 2015</t>
  </si>
  <si>
    <t>URM Data Integration into HAZUS</t>
  </si>
  <si>
    <t>Update MyPlan Website</t>
  </si>
  <si>
    <t>Hazus Runs and Integration</t>
  </si>
  <si>
    <t>Statemap 2016 Proposal Support</t>
  </si>
  <si>
    <t>SM14 Kinsley Mountains</t>
  </si>
  <si>
    <t>SM14 Master</t>
  </si>
  <si>
    <t>Major Mines 2014</t>
  </si>
  <si>
    <t>EQ/Carson City Haz Mitigation</t>
  </si>
  <si>
    <t>White Pine County Geothermal Resource Potential</t>
  </si>
  <si>
    <t>1915 Earthquake Guidebook / Support</t>
  </si>
  <si>
    <t>2015 Open House Support</t>
  </si>
  <si>
    <t>Statemap 2015 Independence Valley NE</t>
  </si>
  <si>
    <t>Proposal Figures for SM17</t>
  </si>
  <si>
    <t>MI 2014</t>
  </si>
  <si>
    <t>Tule Springs NM</t>
  </si>
  <si>
    <t>Goldbanks Open File Report</t>
  </si>
  <si>
    <t>Web Maintenance 1st Half 2016</t>
  </si>
  <si>
    <t>Prelim and Misc 1st Half 2016</t>
  </si>
  <si>
    <t>Statemap 2015 Master</t>
  </si>
  <si>
    <t>SM15 Welcome GIS Conversion</t>
  </si>
  <si>
    <t>SM 15  Southwestern East Humboldt Range GIS Conversion</t>
  </si>
  <si>
    <t>SM 15 Northern East Humboldt Range GIS Conversion</t>
  </si>
  <si>
    <t>SM 15 Valley of Fire East GIS Conversion</t>
  </si>
  <si>
    <t>SM 15 West Half of the Fourth of July GIS Conversion</t>
  </si>
  <si>
    <t>Churchill County Hazard Mitigation</t>
  </si>
  <si>
    <t>Statemap 2015 Boulder City</t>
  </si>
  <si>
    <t>Statemap 2015 Mount Rose NW South Half</t>
  </si>
  <si>
    <t>Las Vegas Proposal</t>
  </si>
  <si>
    <t>Whitney Pocket</t>
  </si>
  <si>
    <t>2017 Nevada Geology Calendar</t>
  </si>
  <si>
    <t>Faults Poster</t>
  </si>
  <si>
    <t>Nevada Rocks Web Application</t>
  </si>
  <si>
    <t>State Hazard Mitigation Plan Updates Project #5</t>
  </si>
  <si>
    <t>GBCGE Report</t>
  </si>
  <si>
    <t>Web Maintenance 2nd Half 2016</t>
  </si>
  <si>
    <t>P &amp; M 2nd Half 2016</t>
  </si>
  <si>
    <t>Geoexplorer Set-up</t>
  </si>
  <si>
    <t>Microbeam Laboratory Web Page and Brochure</t>
  </si>
  <si>
    <t>Statemap 16 Factsheet</t>
  </si>
  <si>
    <t>Earth Science Week 2016</t>
  </si>
  <si>
    <t>Washoe Shear Zone</t>
  </si>
  <si>
    <t>Update T-Shirts and Bandanas</t>
  </si>
  <si>
    <t>Hazus Report OF14-5</t>
  </si>
  <si>
    <t>Cascade Geology Maps</t>
  </si>
  <si>
    <t>P&amp;M - 2012 through 2014</t>
  </si>
  <si>
    <t>SNPLMA 2014 proposal</t>
  </si>
  <si>
    <t>North Valley</t>
  </si>
  <si>
    <t>Design Insar web page</t>
  </si>
  <si>
    <t>MSESE Scholarship and Sponsors poster</t>
  </si>
  <si>
    <t>Stockton Well Quad air photos</t>
  </si>
  <si>
    <t>Major Mines 2005 SP P-17</t>
  </si>
  <si>
    <t>Map 101 and M105 text to .pdf</t>
  </si>
  <si>
    <t>Earthcache information for DD</t>
  </si>
  <si>
    <t>Convert older pubs to .pdf</t>
  </si>
  <si>
    <t>Nevada Petroleum Society reprints</t>
  </si>
  <si>
    <t>John Bell Mono-Inyo Craters radiocarbon data</t>
  </si>
  <si>
    <t>P&amp;M - 2nd Half 2018 (1st Half FY19)</t>
  </si>
  <si>
    <t>Web Maintenance 2nd Half 2018 FY19</t>
  </si>
  <si>
    <t>(JM) Jerritt Canyon &amp; Other Figures</t>
  </si>
  <si>
    <t>SM18 Granite Peak</t>
  </si>
  <si>
    <t>Total NB</t>
  </si>
  <si>
    <t>Outreach Opportunities FY19</t>
  </si>
  <si>
    <t>R&amp;D Conferences Workshops FY19</t>
  </si>
  <si>
    <t>Petersen Mountain</t>
  </si>
  <si>
    <t>R&amp;D Conferences Workshops FY18</t>
  </si>
  <si>
    <t>Preservation Scanning 2018</t>
  </si>
  <si>
    <t>Meetings (P&amp;M) FY16</t>
  </si>
  <si>
    <t>Annual Time FY16</t>
  </si>
  <si>
    <t>Comp Time FY16</t>
  </si>
  <si>
    <t>Holiday Time FY16</t>
  </si>
  <si>
    <t>Leave Without Pay Time FY16</t>
  </si>
  <si>
    <t>Sick Time FY16</t>
  </si>
  <si>
    <t>Meetings (P&amp;M) FY17</t>
  </si>
  <si>
    <t>Annual Time FY17</t>
  </si>
  <si>
    <t>Comp Time FY17</t>
  </si>
  <si>
    <t>Holiday Time FY17</t>
  </si>
  <si>
    <t>Leave Without Pay Time FY17</t>
  </si>
  <si>
    <t>Sick Time FY17</t>
  </si>
  <si>
    <t>Meetings (P&amp;M) FY18</t>
  </si>
  <si>
    <t>Annual Time FY18</t>
  </si>
  <si>
    <t>Comp Time FY18</t>
  </si>
  <si>
    <t>Holiday Time FY18</t>
  </si>
  <si>
    <t>Leave Without Pay Time FY18</t>
  </si>
  <si>
    <t>Sick Time FY18</t>
  </si>
  <si>
    <t>Meetings (P&amp;M) FY19</t>
  </si>
  <si>
    <t>Annual Time FY19</t>
  </si>
  <si>
    <t>Comp Time FY19</t>
  </si>
  <si>
    <t>Holiday Time FY19</t>
  </si>
  <si>
    <t>Leave Without Pay Time FY19</t>
  </si>
  <si>
    <t>Sick Time FY19</t>
  </si>
  <si>
    <t>SM18 Master</t>
  </si>
  <si>
    <t>End Date</t>
  </si>
  <si>
    <t>SM18 Gordon Creek GIS Migration</t>
  </si>
  <si>
    <t>SM18 Huntsman Ranch GIS Migration</t>
  </si>
  <si>
    <t>SM18 Bullfrog Hills GIS Migration</t>
  </si>
  <si>
    <t>SM18 Carson City GIS Migration</t>
  </si>
  <si>
    <t>SM18 Sacramento Pass AI Conversion</t>
  </si>
  <si>
    <t>SM18 Granite Range GIS Migration</t>
  </si>
  <si>
    <t>SM18 Independence Valley</t>
  </si>
  <si>
    <t>SM18 Washoe City</t>
  </si>
  <si>
    <t>Project Name</t>
  </si>
  <si>
    <t>SM19 Proposal</t>
  </si>
  <si>
    <t>E-62 Stewart Publication</t>
  </si>
  <si>
    <t>Carson City Figures</t>
  </si>
  <si>
    <t>Major Mines 2017</t>
  </si>
  <si>
    <t>Earth Science Week 2018</t>
  </si>
  <si>
    <t>PDAC 2019</t>
  </si>
  <si>
    <t>Spirit Mountain NW</t>
  </si>
  <si>
    <t>NBMG Biennial Report 2018</t>
  </si>
  <si>
    <t>Gabbs Valley</t>
  </si>
  <si>
    <t>Seismic Hazards Working Group Report</t>
  </si>
  <si>
    <t>Freds Trench</t>
  </si>
  <si>
    <t>MI 2017</t>
  </si>
  <si>
    <t>Keck Website</t>
  </si>
  <si>
    <t>Active Mines &amp; Energy Producer Maps</t>
  </si>
  <si>
    <t>2020 Nevada Geology Calendar</t>
  </si>
  <si>
    <t>SP16 Reprint</t>
  </si>
  <si>
    <t>SP5 Reprint</t>
  </si>
  <si>
    <t>Web Maint. 1st Half 2019 (FY19)</t>
  </si>
  <si>
    <t>P&amp;M - 1st Half 2019 (FY19)</t>
  </si>
  <si>
    <t>Mining Claims Handbook</t>
  </si>
  <si>
    <t>Paleo Magnetic Site Location Data</t>
  </si>
  <si>
    <t>UNR Day at Legislature</t>
  </si>
  <si>
    <t>FMLA</t>
  </si>
  <si>
    <t>SM17 Ravens Nest</t>
  </si>
  <si>
    <t>Nye County Figures</t>
  </si>
  <si>
    <t>Row Labels</t>
  </si>
  <si>
    <t>Grand Total</t>
  </si>
  <si>
    <t>Work Orders</t>
  </si>
  <si>
    <t>2019</t>
  </si>
  <si>
    <t>Total Hours</t>
  </si>
  <si>
    <t>Average Hrs Per WO</t>
  </si>
  <si>
    <t>Column Labels</t>
  </si>
  <si>
    <t>Sum of Total NB</t>
  </si>
  <si>
    <t>Earth MRI</t>
  </si>
  <si>
    <t>CO2 Sequestration</t>
  </si>
  <si>
    <t>2020 AASG Meeting</t>
  </si>
  <si>
    <t>2019 Preservation Grant</t>
  </si>
  <si>
    <t>NV MRDP</t>
  </si>
  <si>
    <t>Category</t>
  </si>
  <si>
    <t>(All)</t>
  </si>
  <si>
    <t>Sum of Time Worked</t>
  </si>
  <si>
    <t>Sum of Time Billed</t>
  </si>
  <si>
    <t>Sum of Total Billed</t>
  </si>
  <si>
    <t>Years</t>
  </si>
  <si>
    <t>P&amp;M - 2nd Half 2019 (FY20)</t>
  </si>
  <si>
    <t>Web Maint. 2nd Half 2019 (FY20)</t>
  </si>
  <si>
    <t>NB</t>
  </si>
  <si>
    <t>Unbilled</t>
  </si>
  <si>
    <t>Admin</t>
  </si>
  <si>
    <t>JPH</t>
  </si>
  <si>
    <t>IE</t>
  </si>
  <si>
    <t>JM</t>
  </si>
  <si>
    <t>Current Billed Total</t>
  </si>
  <si>
    <t>Current Unbilled Total</t>
  </si>
  <si>
    <t>Meetings (P&amp;M) FY20</t>
  </si>
  <si>
    <t>FMLA FY20</t>
  </si>
  <si>
    <t>Annual Time FY20</t>
  </si>
  <si>
    <t>Comp Time FY20</t>
  </si>
  <si>
    <t>Holiday Time FY20</t>
  </si>
  <si>
    <t>Leave Without Pay Time FY20</t>
  </si>
  <si>
    <t>Sick Time FY20</t>
  </si>
  <si>
    <t>R&amp;D, Conference, Workshop FY20</t>
  </si>
  <si>
    <t>Outreach Opportunities FY20</t>
  </si>
  <si>
    <t>UNCE Programs Map</t>
  </si>
  <si>
    <t>Q Faults Database</t>
  </si>
  <si>
    <t>Work Tag</t>
  </si>
  <si>
    <t>FTE %</t>
  </si>
  <si>
    <t>FTE Total Hrs</t>
  </si>
  <si>
    <t>FTE Total</t>
  </si>
  <si>
    <t>Raechel Micander</t>
  </si>
  <si>
    <t>Jack Hursh</t>
  </si>
  <si>
    <t>Syndey Wilson</t>
  </si>
  <si>
    <t>Irene Edgerton</t>
  </si>
  <si>
    <t>Jennifer Vlcan</t>
  </si>
  <si>
    <t>WO</t>
  </si>
  <si>
    <t>NA</t>
  </si>
  <si>
    <t>Date (Year)</t>
  </si>
  <si>
    <t>Date (Month)</t>
  </si>
  <si>
    <t>(Multiple Items)</t>
  </si>
  <si>
    <t>Holiday</t>
  </si>
  <si>
    <t>Write Off</t>
  </si>
  <si>
    <t>Sum of FTE Total Hrs</t>
  </si>
  <si>
    <t>Sum of FTE Total</t>
  </si>
  <si>
    <t>Annual</t>
  </si>
  <si>
    <t>GR03702</t>
  </si>
  <si>
    <t>PG06767</t>
  </si>
  <si>
    <t>GR07440</t>
  </si>
  <si>
    <t>GR07439</t>
  </si>
  <si>
    <t>GR07436</t>
  </si>
  <si>
    <t>GR07441</t>
  </si>
  <si>
    <t>GR00991</t>
  </si>
  <si>
    <t>JUL</t>
  </si>
  <si>
    <t>AUG</t>
  </si>
  <si>
    <t>SEPT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</si>
  <si>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</si>
  <si>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</si>
  <si>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</si>
  <si>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</si>
  <si>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</si>
  <si>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</si>
  <si>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</si>
  <si>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</si>
  <si>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</si>
  <si>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IPO Date</t>
  </si>
  <si>
    <t>GR05347</t>
  </si>
  <si>
    <t>External</t>
  </si>
  <si>
    <t>Internal</t>
  </si>
  <si>
    <t>Next WO#</t>
  </si>
  <si>
    <t>Sick</t>
  </si>
  <si>
    <t>Comp</t>
  </si>
  <si>
    <t>Petrified Springs Fault Geologic Map</t>
  </si>
  <si>
    <t>GF01228</t>
  </si>
  <si>
    <t>Major Mines 2018</t>
  </si>
  <si>
    <t>Accessibility Work</t>
  </si>
  <si>
    <t>SM20 Proposal Support</t>
  </si>
  <si>
    <t>GR07629</t>
  </si>
  <si>
    <t>GR09297</t>
  </si>
  <si>
    <t>PG03968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</si>
</sst>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m/dd/yy;@"/>
    <numFmt numFmtId="165" formatCode="mm/dd/yy"/>
    <numFmt numFmtId="166" formatCode="&quot;$&quot;#,##0.00"/>
    <numFmt numFmtId="167" formatCode="0.0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6B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F9F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4" fontId="2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14" fontId="0" fillId="0" borderId="0" xfId="0" applyNumberFormat="1"/>
    <xf numFmtId="44" fontId="0" fillId="0" borderId="0" xfId="2" applyFont="1"/>
    <xf numFmtId="44" fontId="0" fillId="0" borderId="0" xfId="2" applyFont="1" applyAlignment="1">
      <alignment horizontal="center" vertical="center"/>
    </xf>
    <xf numFmtId="0" fontId="0" fillId="0" borderId="0" xfId="0" applyNumberFormat="1"/>
    <xf numFmtId="0" fontId="0" fillId="2" borderId="4" xfId="0" applyFill="1" applyBorder="1"/>
    <xf numFmtId="0" fontId="0" fillId="0" borderId="1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3" xfId="0" applyBorder="1"/>
    <xf numFmtId="0" fontId="0" fillId="0" borderId="5" xfId="0" applyFill="1" applyBorder="1"/>
    <xf numFmtId="44" fontId="0" fillId="0" borderId="0" xfId="2" applyNumberFormat="1" applyFont="1"/>
    <xf numFmtId="44" fontId="0" fillId="0" borderId="0" xfId="0" applyNumberFormat="1" applyFon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0" borderId="0" xfId="0" applyNumberFormat="1"/>
    <xf numFmtId="166" fontId="0" fillId="0" borderId="0" xfId="0" applyNumberFormat="1"/>
    <xf numFmtId="1" fontId="0" fillId="0" borderId="0" xfId="0" applyNumberFormat="1"/>
    <xf numFmtId="44" fontId="0" fillId="0" borderId="0" xfId="0" applyNumberFormat="1" applyFont="1" applyAlignment="1">
      <alignment horizontal="center" vertical="center"/>
    </xf>
    <xf numFmtId="0" fontId="0" fillId="4" borderId="0" xfId="0" applyFill="1"/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44" fontId="0" fillId="0" borderId="8" xfId="0" applyNumberFormat="1" applyBorder="1"/>
    <xf numFmtId="2" fontId="0" fillId="0" borderId="9" xfId="0" applyNumberFormat="1" applyBorder="1"/>
    <xf numFmtId="0" fontId="0" fillId="0" borderId="0" xfId="0" applyFill="1"/>
    <xf numFmtId="44" fontId="5" fillId="0" borderId="10" xfId="2" applyFont="1" applyBorder="1"/>
    <xf numFmtId="0" fontId="0" fillId="0" borderId="0" xfId="0" applyNumberFormat="1" applyAlignment="1">
      <alignment horizontal="left" vertical="center"/>
    </xf>
    <xf numFmtId="44" fontId="0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5" xfId="0" applyNumberFormat="1" applyBorder="1"/>
    <xf numFmtId="44" fontId="0" fillId="0" borderId="2" xfId="0" applyNumberFormat="1" applyBorder="1"/>
    <xf numFmtId="0" fontId="6" fillId="6" borderId="0" xfId="0" applyFont="1" applyFill="1" applyAlignment="1">
      <alignment horizontal="center" vertical="center" wrapText="1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44" fontId="0" fillId="0" borderId="0" xfId="0" applyNumberFormat="1"/>
    <xf numFmtId="44" fontId="0" fillId="7" borderId="8" xfId="0" applyNumberFormat="1" applyFill="1" applyBorder="1"/>
    <xf numFmtId="0" fontId="0" fillId="7" borderId="8" xfId="0" applyFill="1" applyBorder="1" applyAlignment="1">
      <alignment horizontal="center" vertical="center" wrapText="1"/>
    </xf>
    <xf numFmtId="44" fontId="0" fillId="3" borderId="8" xfId="0" applyNumberFormat="1" applyFill="1" applyBorder="1"/>
    <xf numFmtId="2" fontId="0" fillId="7" borderId="11" xfId="0" applyNumberFormat="1" applyFill="1" applyBorder="1"/>
    <xf numFmtId="2" fontId="0" fillId="3" borderId="11" xfId="0" applyNumberFormat="1" applyFill="1" applyBorder="1"/>
    <xf numFmtId="2" fontId="0" fillId="7" borderId="7" xfId="0" applyNumberFormat="1" applyFill="1" applyBorder="1"/>
    <xf numFmtId="2" fontId="0" fillId="3" borderId="7" xfId="0" applyNumberFormat="1" applyFill="1" applyBorder="1"/>
    <xf numFmtId="0" fontId="0" fillId="0" borderId="0" xfId="0" applyNumberFormat="1" applyAlignment="1">
      <alignment horizontal="center" vertical="center"/>
    </xf>
    <xf numFmtId="0" fontId="0" fillId="8" borderId="12" xfId="0" applyFill="1" applyBorder="1" applyAlignment="1">
      <alignment horizontal="center" vertical="center" wrapText="1"/>
    </xf>
    <xf numFmtId="2" fontId="0" fillId="8" borderId="7" xfId="0" applyNumberFormat="1" applyFill="1" applyBorder="1"/>
    <xf numFmtId="44" fontId="0" fillId="8" borderId="8" xfId="0" applyNumberFormat="1" applyFill="1" applyBorder="1"/>
    <xf numFmtId="2" fontId="0" fillId="8" borderId="11" xfId="0" applyNumberFormat="1" applyFill="1" applyBorder="1"/>
    <xf numFmtId="2" fontId="0" fillId="0" borderId="0" xfId="0" applyNumberFormat="1" applyBorder="1"/>
    <xf numFmtId="0" fontId="7" fillId="9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4" fontId="0" fillId="0" borderId="0" xfId="0" applyNumberFormat="1" applyBorder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0" fillId="11" borderId="8" xfId="0" applyFill="1" applyBorder="1" applyAlignment="1">
      <alignment horizontal="center" vertical="center" wrapText="1"/>
    </xf>
    <xf numFmtId="44" fontId="0" fillId="11" borderId="8" xfId="0" applyNumberFormat="1" applyFill="1" applyBorder="1"/>
    <xf numFmtId="2" fontId="0" fillId="11" borderId="11" xfId="0" applyNumberFormat="1" applyFill="1" applyBorder="1"/>
    <xf numFmtId="2" fontId="0" fillId="11" borderId="7" xfId="0" applyNumberFormat="1" applyFill="1" applyBorder="1"/>
    <xf numFmtId="44" fontId="0" fillId="12" borderId="8" xfId="0" applyNumberFormat="1" applyFill="1" applyBorder="1"/>
    <xf numFmtId="0" fontId="0" fillId="12" borderId="8" xfId="0" applyFill="1" applyBorder="1" applyAlignment="1">
      <alignment horizontal="center" vertical="center" wrapText="1"/>
    </xf>
    <xf numFmtId="2" fontId="0" fillId="12" borderId="11" xfId="0" applyNumberFormat="1" applyFill="1" applyBorder="1"/>
    <xf numFmtId="2" fontId="0" fillId="12" borderId="7" xfId="0" applyNumberFormat="1" applyFill="1" applyBorder="1"/>
    <xf numFmtId="0" fontId="0" fillId="13" borderId="8" xfId="0" applyFill="1" applyBorder="1" applyAlignment="1">
      <alignment horizontal="center" vertical="center" wrapText="1"/>
    </xf>
    <xf numFmtId="44" fontId="0" fillId="13" borderId="8" xfId="0" applyNumberFormat="1" applyFill="1" applyBorder="1"/>
    <xf numFmtId="2" fontId="0" fillId="13" borderId="11" xfId="0" applyNumberFormat="1" applyFill="1" applyBorder="1"/>
    <xf numFmtId="2" fontId="0" fillId="13" borderId="7" xfId="0" applyNumberFormat="1" applyFill="1" applyBorder="1"/>
  </cellXfs>
  <cellStyles count="3">
    <cellStyle name="Currency" xfId="2" builtinId="4"/>
    <cellStyle name="Normal" xfId="0" builtinId="0"/>
    <cellStyle name="Normal 2" xfId="1" xr:uid="{00000000-0005-0000-0000-000002000000}"/>
  </cellStyles>
  <dxfs count="51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border>
        <left style="medium">
          <color indexed="64"/>
        </left>
        <right style="medium">
          <color indexed="64"/>
        </right>
      </border>
    </dxf>
    <dxf>
      <border>
        <top style="medium">
          <color indexed="64"/>
        </top>
      </border>
    </dxf>
    <dxf>
      <numFmt numFmtId="2" formatCode="0.00"/>
    </dxf>
    <dxf>
      <border>
        <bottom style="medium">
          <color indexed="64"/>
        </bottom>
        <vertical/>
      </border>
    </dxf>
    <dxf>
      <alignment vertical="center" readingOrder="0"/>
    </dxf>
    <dxf>
      <alignment vertical="bottom" readingOrder="0"/>
    </dxf>
    <dxf>
      <alignment horizontal="center" readingOrder="0"/>
    </dxf>
    <dxf>
      <alignment horizontal="general" readingOrder="0"/>
    </dxf>
    <dxf>
      <alignment wrapText="1" readingOrder="0"/>
    </dxf>
    <dxf>
      <alignment wrapText="0" readingOrder="0"/>
    </dxf>
    <dxf>
      <border>
        <top style="medium">
          <color indexed="64"/>
        </top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numFmt numFmtId="2" formatCode="0.00"/>
    </dxf>
    <dxf>
      <fill>
        <patternFill>
          <bgColor theme="0" tint="-0.499984740745262"/>
        </patternFill>
      </fill>
    </dxf>
    <dxf>
      <font>
        <color theme="0"/>
      </font>
    </dxf>
    <dxf>
      <border>
        <bottom style="medium">
          <color indexed="64"/>
        </bottom>
        <vertic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ill>
        <patternFill>
          <bgColor theme="0" tint="-0.14999847407452621"/>
        </patternFill>
      </fill>
    </dxf>
    <dxf>
      <border>
        <bottom style="medium">
          <color indexed="64"/>
        </bottom>
        <vertical/>
      </border>
    </dxf>
    <dxf>
      <fill>
        <patternFill>
          <bgColor theme="0" tint="-0.14999847407452621"/>
        </patternFill>
      </fill>
    </dxf>
    <dxf>
      <border>
        <bottom style="medium">
          <color indexed="64"/>
        </bottom>
        <vertical/>
      </border>
    </dxf>
    <dxf>
      <fill>
        <patternFill>
          <bgColor theme="7" tint="0.59999389629810485"/>
        </patternFill>
      </fill>
    </dxf>
    <dxf>
      <border>
        <bottom style="medium">
          <color indexed="64"/>
        </bottom>
        <vertical/>
      </border>
    </dxf>
    <dxf>
      <fill>
        <patternFill>
          <bgColor theme="7" tint="0.59999389629810485"/>
        </patternFill>
      </fill>
    </dxf>
    <dxf>
      <border>
        <bottom style="medium">
          <color indexed="64"/>
        </bottom>
        <vertical/>
      </border>
    </dxf>
    <dxf>
      <fill>
        <patternFill>
          <bgColor rgb="FFFF9F9F"/>
        </patternFill>
      </fill>
    </dxf>
    <dxf>
      <border>
        <bottom style="medium">
          <color indexed="64"/>
        </bottom>
        <vertical/>
      </border>
    </dxf>
    <dxf>
      <fill>
        <patternFill>
          <bgColor rgb="FFFF9F9F"/>
        </patternFill>
      </fill>
    </dxf>
    <dxf>
      <border>
        <bottom style="medium">
          <color indexed="64"/>
        </bottom>
        <vertical/>
      </border>
    </dxf>
    <dxf>
      <fill>
        <patternFill>
          <bgColor theme="3" tint="0.59999389629810485"/>
        </patternFill>
      </fill>
    </dxf>
    <dxf>
      <border>
        <bottom style="medium">
          <color indexed="64"/>
        </bottom>
        <vertical/>
      </border>
    </dxf>
    <dxf>
      <fill>
        <patternFill>
          <bgColor theme="3" tint="0.59999389629810485"/>
        </patternFill>
      </fill>
    </dxf>
    <dxf>
      <border>
        <bottom style="medium">
          <color indexed="64"/>
        </bottom>
        <vertical/>
      </border>
    </dxf>
    <dxf>
      <fill>
        <patternFill>
          <bgColor rgb="FFD8E4BC"/>
        </patternFill>
      </fill>
    </dxf>
    <dxf>
      <fill>
        <patternFill>
          <bgColor rgb="FFD8E4BC"/>
        </patternFill>
      </fill>
    </dxf>
    <dxf>
      <border>
        <bottom style="medium">
          <color indexed="64"/>
        </bottom>
        <vertical/>
      </border>
    </dxf>
    <dxf>
      <border>
        <bottom style="medium">
          <color indexed="64"/>
        </bottom>
        <vertical/>
      </border>
    </dxf>
    <dxf>
      <fill>
        <patternFill>
          <bgColor rgb="FFFFFF99"/>
        </patternFill>
      </fill>
    </dxf>
    <dxf>
      <border>
        <bottom style="medium">
          <color indexed="64"/>
        </bottom>
        <vertical/>
      </border>
    </dxf>
    <dxf>
      <fill>
        <patternFill>
          <bgColor rgb="FFFFFF99"/>
        </patternFill>
      </fill>
    </dxf>
    <dxf>
      <border>
        <bottom style="medium">
          <color indexed="64"/>
        </bottom>
        <vertic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bottom style="medium">
          <color indexed="64"/>
        </bottom>
        <vertical/>
      </border>
    </dxf>
    <dxf>
      <border>
        <bottom style="medium">
          <color indexed="64"/>
        </bottom>
        <vertical/>
      </border>
    </dxf>
    <dxf>
      <fill>
        <patternFill>
          <bgColor rgb="FFFB6B53"/>
        </patternFill>
      </fill>
    </dxf>
    <dxf>
      <border>
        <bottom style="medium">
          <color indexed="64"/>
        </bottom>
        <vertical/>
      </border>
    </dxf>
    <dxf>
      <fill>
        <patternFill>
          <bgColor rgb="FFFB6B53"/>
        </patternFill>
      </fill>
    </dxf>
    <dxf>
      <border>
        <bottom style="medium">
          <color indexed="64"/>
        </bottom>
        <vertical/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4" formatCode="_(&quot;$&quot;* #,##0.00_);_(&quot;$&quot;* \(#,##0.00\);_(&quot;$&quot;* &quot;-&quot;??_);_(@_)"/>
    </dxf>
    <dxf>
      <alignment horizontal="right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border>
        <bottom style="medium">
          <color indexed="64"/>
        </bottom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border>
        <bottom style="medium">
          <color indexed="64"/>
        </bottom>
      </border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rgb="FFC39BE1"/>
        </patternFill>
      </fill>
    </dxf>
    <dxf>
      <fill>
        <patternFill>
          <bgColor rgb="FFC39BE1"/>
        </patternFill>
      </fill>
    </dxf>
    <dxf>
      <fill>
        <patternFill>
          <bgColor rgb="FFC39BE1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B6B53"/>
        </patternFill>
      </fill>
    </dxf>
    <dxf>
      <fill>
        <patternFill>
          <bgColor rgb="FFFB6B53"/>
        </patternFill>
      </fill>
    </dxf>
    <dxf>
      <fill>
        <patternFill>
          <bgColor rgb="FFFB6B53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2" formatCode="0.00"/>
    </dxf>
    <dxf>
      <numFmt numFmtId="34" formatCode="_(&quot;$&quot;* #,##0.00_);_(&quot;$&quot;* \(#,##0.00\);_(&quot;$&quot;* &quot;-&quot;??_);_(@_)"/>
    </dxf>
    <dxf>
      <numFmt numFmtId="1" formatCode="0"/>
    </dxf>
    <dxf>
      <numFmt numFmtId="168" formatCode="0.0"/>
    </dxf>
    <dxf>
      <numFmt numFmtId="2" formatCode="0.00"/>
    </dxf>
    <dxf>
      <numFmt numFmtId="167" formatCode="0.000"/>
    </dxf>
    <dxf>
      <numFmt numFmtId="2" formatCode="0.00"/>
    </dxf>
    <dxf>
      <numFmt numFmtId="167" formatCode="0.000"/>
    </dxf>
    <dxf>
      <numFmt numFmtId="169" formatCode="0.0000"/>
    </dxf>
    <dxf>
      <numFmt numFmtId="167" formatCode="0.000"/>
    </dxf>
    <dxf>
      <numFmt numFmtId="2" formatCode="0.00"/>
    </dxf>
    <dxf>
      <numFmt numFmtId="166" formatCode="&quot;$&quot;#,##0.00"/>
    </dxf>
    <dxf>
      <numFmt numFmtId="34" formatCode="_(&quot;$&quot;* #,##0.00_);_(&quot;$&quot;* \(#,##0.00\);_(&quot;$&quot;* &quot;-&quot;??_);_(@_)"/>
    </dxf>
    <dxf>
      <alignment horizontal="center" vertical="center" textRotation="0" wrapText="0" indent="0" justifyLastLine="0" shrinkToFit="0" readingOrder="0"/>
    </dxf>
    <dxf>
      <numFmt numFmtId="165" formatCode="mm/dd/yy"/>
      <alignment horizontal="center" vertical="bottom" textRotation="0" wrapText="0" indent="0" justifyLastLine="0" shrinkToFit="0" readingOrder="0"/>
    </dxf>
    <dxf>
      <numFmt numFmtId="165" formatCode="mm/dd/yy"/>
      <alignment horizontal="center" vertical="bottom" textRotation="0" wrapText="0" indent="0" justifyLastLine="0" shrinkToFit="0" readingOrder="0"/>
    </dxf>
    <dxf>
      <numFmt numFmtId="165" formatCode="mm/dd/yy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7" formatCode="0.000"/>
      <alignment horizontal="center" vertical="center" textRotation="0" wrapText="0" indent="0" justifyLastLine="0" shrinkToFit="0" readingOrder="0"/>
    </dxf>
    <dxf>
      <numFmt numFmtId="167" formatCode="0.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mm/dd/yy;@"/>
      <alignment horizontal="center" vertical="center" textRotation="0" wrapText="0" indent="0" justifyLastLine="0" shrinkToFit="0" readingOrder="0"/>
    </dxf>
    <dxf>
      <numFmt numFmtId="165" formatCode="mm/dd/yy"/>
      <alignment horizontal="center" vertical="bottom" textRotation="0" wrapText="0" indent="0" justifyLastLine="0" shrinkToFit="0" readingOrder="0"/>
    </dxf>
    <dxf>
      <numFmt numFmtId="165" formatCode="mm/dd/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6B5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B53"/>
      <color rgb="FFFF9F9F"/>
      <color rgb="FFD8E4BC"/>
      <color rgb="FFFFFF99"/>
      <color rgb="FFC39BE1"/>
      <color rgb="FF0000FF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2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[MasterFY20.xlsm]Avg Hrs Chart!PivotTable2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'Avg Hrs Chart'!$B$5</c:f>
              <c:strCache>
                <c:ptCount val="1"/>
                <c:pt idx="0">
                  <c:v>Average Hrs Per WO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A3F-462C-9D09-E6D88AFF6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A3F-462C-9D09-E6D88AFF63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EA3F-462C-9D09-E6D88AFF63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EA3F-462C-9D09-E6D88AFF63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A3F-462C-9D09-E6D88AFF636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'Avg Hrs Chart'!$A$6:$A$10</c:f>
              <c:strCache>
                <c:ptCount val="4"/>
                <c:pt idx="0">
                  <c:v>IE</c:v>
                </c:pt>
                <c:pt idx="1">
                  <c:v>JM</c:v>
                </c:pt>
                <c:pt idx="2">
                  <c:v>JPH</c:v>
                </c:pt>
                <c:pt idx="3">
                  <c:v>RM</c:v>
                </c:pt>
              </c:strCache>
            </c:strRef>
          </c:cat>
          <c:val>
            <c:numRef>
              <c:f>'Avg Hrs Chart'!$B$6:$B$10</c:f>
              <c:numCache>
                <c:formatCode>0.00</c:formatCode>
                <c:ptCount val="4"/>
                <c:pt idx="0">
                  <c:v>29.09090909090909</c:v>
                </c:pt>
                <c:pt idx="1">
                  <c:v>19.676470588235293</c:v>
                </c:pt>
                <c:pt idx="2">
                  <c:v>28.107142857142858</c:v>
                </c:pt>
                <c:pt idx="3">
                  <c:v>34.799999999999997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E-46A7-97BC-920AFD3FD11D}"/>
            </c:ext>
          </c:extLst>
        </c:ser>
        <c:ser>
          <c:idx val="1"/>
          <c:order val="1"/>
          <c:tx>
            <c:strRef>
              <c:f>'Avg Hrs Chart'!$C$5</c:f>
              <c:strCache>
                <c:ptCount val="1"/>
                <c:pt idx="0">
                  <c:v>Work Orders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E508-4BFA-81CE-C81EC9D56E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E508-4BFA-81CE-C81EC9D56E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E508-4BFA-81CE-C81EC9D56E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E508-4BFA-81CE-C81EC9D56E5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E508-4BFA-81CE-C81EC9D56E55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'Avg Hrs Chart'!$A$6:$A$10</c:f>
              <c:strCache>
                <c:ptCount val="4"/>
                <c:pt idx="0">
                  <c:v>IE</c:v>
                </c:pt>
                <c:pt idx="1">
                  <c:v>JM</c:v>
                </c:pt>
                <c:pt idx="2">
                  <c:v>JPH</c:v>
                </c:pt>
                <c:pt idx="3">
                  <c:v>RM</c:v>
                </c:pt>
              </c:strCache>
            </c:strRef>
          </c:cat>
          <c:val>
            <c:numRef>
              <c:f>'Avg Hrs Chart'!$C$6:$C$10</c:f>
              <c:numCache>
                <c:formatCode>0</c:formatCode>
                <c:ptCount val="4"/>
                <c:pt idx="0">
                  <c:v>11</c:v>
                </c:pt>
                <c:pt idx="1">
                  <c:v>17</c:v>
                </c:pt>
                <c:pt idx="2">
                  <c:v>7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A3F-462C-9D09-E6D88AFF6360}"/>
            </c:ext>
          </c:extLst>
        </c:ser>
        <c:ser>
          <c:idx val="2"/>
          <c:order val="2"/>
          <c:tx>
            <c:strRef>
              <c:f>'Avg Hrs Chart'!$D$5</c:f>
              <c:strCache>
                <c:ptCount val="1"/>
                <c:pt idx="0">
                  <c:v>Total Hours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E508-4BFA-81CE-C81EC9D56E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E508-4BFA-81CE-C81EC9D56E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E508-4BFA-81CE-C81EC9D56E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E508-4BFA-81CE-C81EC9D56E5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E508-4BFA-81CE-C81EC9D56E55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'Avg Hrs Chart'!$A$6:$A$10</c:f>
              <c:strCache>
                <c:ptCount val="4"/>
                <c:pt idx="0">
                  <c:v>IE</c:v>
                </c:pt>
                <c:pt idx="1">
                  <c:v>JM</c:v>
                </c:pt>
                <c:pt idx="2">
                  <c:v>JPH</c:v>
                </c:pt>
                <c:pt idx="3">
                  <c:v>RM</c:v>
                </c:pt>
              </c:strCache>
            </c:strRef>
          </c:cat>
          <c:val>
            <c:numRef>
              <c:f>'Avg Hrs Chart'!$D$6:$D$10</c:f>
              <c:numCache>
                <c:formatCode>0.00</c:formatCode>
                <c:ptCount val="4"/>
                <c:pt idx="0">
                  <c:v>320</c:v>
                </c:pt>
                <c:pt idx="1">
                  <c:v>334.5</c:v>
                </c:pt>
                <c:pt idx="2">
                  <c:v>196.75</c:v>
                </c:pt>
                <c:pt idx="3">
                  <c:v>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A3F-462C-9D09-E6D88AFF6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[MasterFY20.xlsm]Summary with FTE%!PivotTable1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Cartography Summary with FTE%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465766616715187E-3"/>
              <c:y val="-2.2204515829499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3.5158288428078568E-2"/>
              <c:y val="-4.039366970764208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2.050900158304577E-2"/>
              <c:y val="-3.8373986222260001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2.3438858952052201E-2"/>
              <c:y val="2.827556879534937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7.3246434225162386E-3"/>
              <c:y val="-1.009841742691055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'Summary with FTE%'!$B$4</c:f>
              <c:strCache>
                <c:ptCount val="1"/>
                <c:pt idx="0">
                  <c:v>Sum of FTE Total Hrs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105-4BE9-85E9-2FB2CE8C0D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105-4BE9-85E9-2FB2CE8C0D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105-4BE9-85E9-2FB2CE8C0D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627-4C53-899F-D7F97C96CC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1A5-487B-8C8F-028FD0509F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E1A5-487B-8C8F-028FD0509F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6426-406A-905D-892E5AB3C03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805D-4156-8303-CFF5A3077EE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F401-4776-A41D-E990DAC81426}"/>
              </c:ext>
            </c:extLst>
          </c:dPt>
          <c:cat>
            <c:strRef>
              <c:f>'Summary with FTE%'!$A$5:$A$14</c:f>
              <c:strCache>
                <c:ptCount val="9"/>
                <c:pt idx="0">
                  <c:v>Annual</c:v>
                </c:pt>
                <c:pt idx="1">
                  <c:v>Comp</c:v>
                </c:pt>
                <c:pt idx="2">
                  <c:v>Holiday</c:v>
                </c:pt>
                <c:pt idx="3">
                  <c:v>Match</c:v>
                </c:pt>
                <c:pt idx="4">
                  <c:v>Sick</c:v>
                </c:pt>
                <c:pt idx="5">
                  <c:v>Unbilled</c:v>
                </c:pt>
                <c:pt idx="6">
                  <c:v>Write Off</c:v>
                </c:pt>
                <c:pt idx="7">
                  <c:v>External</c:v>
                </c:pt>
                <c:pt idx="8">
                  <c:v>Internal</c:v>
                </c:pt>
              </c:strCache>
            </c:strRef>
          </c:cat>
          <c:val>
            <c:numRef>
              <c:f>'Summary with FTE%'!$B$5:$B$14</c:f>
              <c:numCache>
                <c:formatCode>0.00</c:formatCode>
                <c:ptCount val="9"/>
                <c:pt idx="0">
                  <c:v>95.454999999999998</c:v>
                </c:pt>
                <c:pt idx="1">
                  <c:v>5.0362500000000008</c:v>
                </c:pt>
                <c:pt idx="2">
                  <c:v>17.412500000000001</c:v>
                </c:pt>
                <c:pt idx="3">
                  <c:v>14.318750000000003</c:v>
                </c:pt>
                <c:pt idx="4">
                  <c:v>14</c:v>
                </c:pt>
                <c:pt idx="5">
                  <c:v>314.23749999999961</c:v>
                </c:pt>
                <c:pt idx="6">
                  <c:v>6.1724999999999994</c:v>
                </c:pt>
                <c:pt idx="7">
                  <c:v>247.10064999999994</c:v>
                </c:pt>
                <c:pt idx="8">
                  <c:v>96.259999999999991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05-4BE9-85E9-2FB2CE8C0D37}"/>
            </c:ext>
          </c:extLst>
        </c:ser>
        <c:ser>
          <c:idx val="1"/>
          <c:order val="1"/>
          <c:tx>
            <c:strRef>
              <c:f>'Summary with FTE%'!$C$4</c:f>
              <c:strCache>
                <c:ptCount val="1"/>
                <c:pt idx="0">
                  <c:v>Sum of FTE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8-C105-4BE9-85E9-2FB2CE8C0D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C105-4BE9-85E9-2FB2CE8C0D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C105-4BE9-85E9-2FB2CE8C0D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7627-4C53-899F-D7F97C96CC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E1A5-487B-8C8F-028FD0509F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E1A5-487B-8C8F-028FD0509F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6426-406A-905D-892E5AB3C03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805D-4156-8303-CFF5A3077EE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F401-4776-A41D-E990DAC81426}"/>
              </c:ext>
            </c:extLst>
          </c:dPt>
          <c:cat>
            <c:strRef>
              <c:f>'Summary with FTE%'!$A$5:$A$14</c:f>
              <c:strCache>
                <c:ptCount val="9"/>
                <c:pt idx="0">
                  <c:v>Annual</c:v>
                </c:pt>
                <c:pt idx="1">
                  <c:v>Comp</c:v>
                </c:pt>
                <c:pt idx="2">
                  <c:v>Holiday</c:v>
                </c:pt>
                <c:pt idx="3">
                  <c:v>Match</c:v>
                </c:pt>
                <c:pt idx="4">
                  <c:v>Sick</c:v>
                </c:pt>
                <c:pt idx="5">
                  <c:v>Unbilled</c:v>
                </c:pt>
                <c:pt idx="6">
                  <c:v>Write Off</c:v>
                </c:pt>
                <c:pt idx="7">
                  <c:v>External</c:v>
                </c:pt>
                <c:pt idx="8">
                  <c:v>Internal</c:v>
                </c:pt>
              </c:strCache>
            </c:strRef>
          </c:cat>
          <c:val>
            <c:numRef>
              <c:f>'Summary with FTE%'!$C$5:$C$14</c:f>
              <c:numCache>
                <c:formatCode>_("$"* #,##0.00_);_("$"* \(#,##0.00\);_("$"* "-"??_);_(@_)</c:formatCode>
                <c:ptCount val="9"/>
                <c:pt idx="0">
                  <c:v>5911.5281499999992</c:v>
                </c:pt>
                <c:pt idx="1">
                  <c:v>311.89496250000002</c:v>
                </c:pt>
                <c:pt idx="2">
                  <c:v>1078.356125</c:v>
                </c:pt>
                <c:pt idx="3">
                  <c:v>2244.9625000000001</c:v>
                </c:pt>
                <c:pt idx="4">
                  <c:v>867.02</c:v>
                </c:pt>
                <c:pt idx="5">
                  <c:v>39681.647499999912</c:v>
                </c:pt>
                <c:pt idx="6">
                  <c:v>382.26292499999994</c:v>
                </c:pt>
                <c:pt idx="7">
                  <c:v>16881.771192000011</c:v>
                </c:pt>
                <c:pt idx="8">
                  <c:v>9645.5975000000053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105-4BE9-85E9-2FB2CE8C0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[MasterFY20.xlsm]Summary wo FTE%!PivotTable3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Cartography Summary without FTE Totals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-4.7544610102728216E-2"/>
              <c:y val="8.904060727321432E-2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  <c:dLbl>
          <c:idx val="0"/>
          <c:layout>
            <c:manualLayout>
              <c:x val="7.1427344617503122E-2"/>
              <c:y val="-0.23728294903170027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5.5469364987935178E-2"/>
              <c:y val="-0.12403441325039485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6.927131885170415E-2"/>
              <c:y val="-0.11330430343577998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6.7536492730271624E-2"/>
              <c:y val="-9.3841550906415119E-2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8.2000908103666725E-2"/>
              <c:y val="-8.1773176266620867E-2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7.830739989217568E-2"/>
              <c:y val="7.4300946095874926E-2"/>
            </c:manualLayout>
          </c:layout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  <c:dLbl>
          <c:idx val="0"/>
          <c:layout>
            <c:manualLayout>
              <c:x val="-4.9008492117952961E-2"/>
              <c:y val="0.13746790380826349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7979272228338617E-2"/>
                  <c:h val="0.12349977462559011"/>
                </c:manualLayout>
              </c15:layout>
            </c:ext>
          </c:extLst>
        </c:dLbl>
      </c:pivotFmt>
      <c:pivotFmt>
        <c:idx val="37"/>
        <c:dLbl>
          <c:idx val="0"/>
          <c:layout>
            <c:manualLayout>
              <c:x val="0.11241765483553681"/>
              <c:y val="-0.31698612847119889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7327876719221335E-2"/>
                  <c:h val="8.9197106246596936E-2"/>
                </c:manualLayout>
              </c15:layout>
            </c:ext>
          </c:extLst>
        </c:dLbl>
      </c:pivotFmt>
      <c:pivotFmt>
        <c:idx val="38"/>
        <c:dLbl>
          <c:idx val="0"/>
          <c:layout>
            <c:manualLayout>
              <c:x val="5.5469364987935178E-2"/>
              <c:y val="-0.12403441325039485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layout>
            <c:manualLayout>
              <c:x val="6.927131885170415E-2"/>
              <c:y val="-0.11330430343577998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6.7536492730271624E-2"/>
              <c:y val="-9.3841550906415119E-2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8.2000908103666725E-2"/>
              <c:y val="-8.1773176266620867E-2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layout>
            <c:manualLayout>
              <c:x val="0.14272074452051423"/>
              <c:y val="0.14189746028381764"/>
            </c:manualLayout>
          </c:layout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8.7243541115551979E-2"/>
                  <c:h val="9.3232714291184376E-2"/>
                </c:manualLayout>
              </c15:layout>
            </c:ext>
          </c:extLst>
        </c:dLbl>
      </c:pivotFmt>
      <c:pivotFmt>
        <c:idx val="43"/>
        <c:dLbl>
          <c:idx val="0"/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.13149553899123864"/>
              <c:y val="-0.24713435385097351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8.7044146582201581E-2"/>
              <c:y val="-0.12981583285292425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.14774788998856006"/>
              <c:y val="-0.11629698611446881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.14160355791186194"/>
              <c:y val="-8.4152253996773188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.12530261732826983"/>
              <c:y val="-7.861177430611682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465766616715187E-2"/>
              <c:y val="6.8632139836633896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"/>
              <c:y val="-3.8353254614589598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7.3288330835758276E-3"/>
              <c:y val="-2.6241700525771783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1726132933721389E-2"/>
              <c:y val="5.6520585747816147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0260366317006308E-2"/>
              <c:y val="-4.239043931086214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0"/>
              <c:y val="-2.2204515829499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4.2482931850594804E-2"/>
              <c:y val="-3.635430273687786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1.4649286845033766E-3"/>
              <c:y val="-2.8275568795349447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4649286845032585E-2"/>
              <c:y val="2.0196834853821035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2.9298573690065385E-2"/>
              <c:y val="-1.009841742691055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4.2482931850594804E-2"/>
              <c:y val="-3.635430273687786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1.4649286845033766E-3"/>
              <c:y val="-2.8275568795349447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2.9298573690065385E-2"/>
              <c:y val="-1.009841742691055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1.4649286845032585E-2"/>
              <c:y val="2.0196834853821035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'Summary wo FTE%'!$B$4</c:f>
              <c:strCache>
                <c:ptCount val="1"/>
                <c:pt idx="0">
                  <c:v>Sum of Time Worked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305-4113-8D67-C71BF6D1CE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305-4113-8D67-C71BF6D1CE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305-4113-8D67-C71BF6D1CE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5305-4113-8D67-C71BF6D1CE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5305-4113-8D67-C71BF6D1CE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5305-4113-8D67-C71BF6D1CE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5305-4113-8D67-C71BF6D1CE7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5305-4113-8D67-C71BF6D1CE7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D8D0-4FBF-A6B1-6F1B9394CCAD}"/>
              </c:ext>
            </c:extLst>
          </c:dPt>
          <c:dLbls>
            <c:dLbl>
              <c:idx val="0"/>
              <c:layout>
                <c:manualLayout>
                  <c:x val="-4.2482931850594804E-2"/>
                  <c:y val="-3.635430273687786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05-4113-8D67-C71BF6D1CE70}"/>
                </c:ext>
              </c:extLst>
            </c:dLbl>
            <c:dLbl>
              <c:idx val="1"/>
              <c:layout>
                <c:manualLayout>
                  <c:x val="-1.4649286845033766E-3"/>
                  <c:y val="-2.827556879534944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05-4113-8D67-C71BF6D1CE70}"/>
                </c:ext>
              </c:extLst>
            </c:dLbl>
            <c:dLbl>
              <c:idx val="2"/>
              <c:layout>
                <c:manualLayout>
                  <c:x val="2.9298573690065385E-2"/>
                  <c:y val="-1.009841742691055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305-4113-8D67-C71BF6D1CE70}"/>
                </c:ext>
              </c:extLst>
            </c:dLbl>
            <c:dLbl>
              <c:idx val="5"/>
              <c:layout>
                <c:manualLayout>
                  <c:x val="1.4649286845032585E-2"/>
                  <c:y val="2.019683485382103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05-4113-8D67-C71BF6D1CE70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'Summary wo FTE%'!$A$5:$A$14</c:f>
              <c:strCache>
                <c:ptCount val="9"/>
                <c:pt idx="0">
                  <c:v>Annual</c:v>
                </c:pt>
                <c:pt idx="1">
                  <c:v>Comp</c:v>
                </c:pt>
                <c:pt idx="2">
                  <c:v>Holiday</c:v>
                </c:pt>
                <c:pt idx="3">
                  <c:v>Match</c:v>
                </c:pt>
                <c:pt idx="4">
                  <c:v>Sick</c:v>
                </c:pt>
                <c:pt idx="5">
                  <c:v>Write Off</c:v>
                </c:pt>
                <c:pt idx="6">
                  <c:v>Unbilled</c:v>
                </c:pt>
                <c:pt idx="7">
                  <c:v>External</c:v>
                </c:pt>
                <c:pt idx="8">
                  <c:v>Internal</c:v>
                </c:pt>
              </c:strCache>
            </c:strRef>
          </c:cat>
          <c:val>
            <c:numRef>
              <c:f>'Summary wo FTE%'!$B$5:$B$14</c:f>
              <c:numCache>
                <c:formatCode>0.00</c:formatCode>
                <c:ptCount val="9"/>
                <c:pt idx="0">
                  <c:v>120.5</c:v>
                </c:pt>
                <c:pt idx="1">
                  <c:v>12.75</c:v>
                </c:pt>
                <c:pt idx="2">
                  <c:v>28.25</c:v>
                </c:pt>
                <c:pt idx="3">
                  <c:v>36.25</c:v>
                </c:pt>
                <c:pt idx="4">
                  <c:v>20.5</c:v>
                </c:pt>
                <c:pt idx="5">
                  <c:v>13.5</c:v>
                </c:pt>
                <c:pt idx="6">
                  <c:v>640.75</c:v>
                </c:pt>
                <c:pt idx="7">
                  <c:v>272.59440000000001</c:v>
                </c:pt>
                <c:pt idx="8">
                  <c:v>155.75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05-4113-8D67-C71BF6D1CE70}"/>
            </c:ext>
          </c:extLst>
        </c:ser>
        <c:ser>
          <c:idx val="1"/>
          <c:order val="1"/>
          <c:tx>
            <c:strRef>
              <c:f>'Summary wo FTE%'!$C$4</c:f>
              <c:strCache>
                <c:ptCount val="1"/>
                <c:pt idx="0">
                  <c:v>Sum of Time 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5305-4113-8D67-C71BF6D1CE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5305-4113-8D67-C71BF6D1CE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6-5305-4113-8D67-C71BF6D1CE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8-5305-4113-8D67-C71BF6D1CE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A-5305-4113-8D67-C71BF6D1CE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5305-4113-8D67-C71BF6D1CE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5305-4113-8D67-C71BF6D1CE7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5305-4113-8D67-C71BF6D1CE7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D8D0-4FBF-A6B1-6F1B9394CCAD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'Summary wo FTE%'!$A$5:$A$14</c:f>
              <c:strCache>
                <c:ptCount val="9"/>
                <c:pt idx="0">
                  <c:v>Annual</c:v>
                </c:pt>
                <c:pt idx="1">
                  <c:v>Comp</c:v>
                </c:pt>
                <c:pt idx="2">
                  <c:v>Holiday</c:v>
                </c:pt>
                <c:pt idx="3">
                  <c:v>Match</c:v>
                </c:pt>
                <c:pt idx="4">
                  <c:v>Sick</c:v>
                </c:pt>
                <c:pt idx="5">
                  <c:v>Write Off</c:v>
                </c:pt>
                <c:pt idx="6">
                  <c:v>Unbilled</c:v>
                </c:pt>
                <c:pt idx="7">
                  <c:v>External</c:v>
                </c:pt>
                <c:pt idx="8">
                  <c:v>Internal</c:v>
                </c:pt>
              </c:strCache>
            </c:strRef>
          </c:cat>
          <c:val>
            <c:numRef>
              <c:f>'Summary wo FTE%'!$C$5:$C$14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272.59440000000001</c:v>
                </c:pt>
                <c:pt idx="8">
                  <c:v>155.75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305-4113-8D67-C71BF6D1CE70}"/>
            </c:ext>
          </c:extLst>
        </c:ser>
        <c:ser>
          <c:idx val="2"/>
          <c:order val="2"/>
          <c:tx>
            <c:strRef>
              <c:f>'Summary wo FTE%'!$D$4</c:f>
              <c:strCache>
                <c:ptCount val="1"/>
                <c:pt idx="0">
                  <c:v>Sum of Total 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5305-4113-8D67-C71BF6D1CE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5305-4113-8D67-C71BF6D1CE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5305-4113-8D67-C71BF6D1CE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5305-4113-8D67-C71BF6D1CE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5305-4113-8D67-C71BF6D1CE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5305-4113-8D67-C71BF6D1CE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5305-4113-8D67-C71BF6D1CE7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5305-4113-8D67-C71BF6D1CE7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D8D0-4FBF-A6B1-6F1B9394CCAD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'Summary wo FTE%'!$A$5:$A$14</c:f>
              <c:strCache>
                <c:ptCount val="9"/>
                <c:pt idx="0">
                  <c:v>Annual</c:v>
                </c:pt>
                <c:pt idx="1">
                  <c:v>Comp</c:v>
                </c:pt>
                <c:pt idx="2">
                  <c:v>Holiday</c:v>
                </c:pt>
                <c:pt idx="3">
                  <c:v>Match</c:v>
                </c:pt>
                <c:pt idx="4">
                  <c:v>Sick</c:v>
                </c:pt>
                <c:pt idx="5">
                  <c:v>Write Off</c:v>
                </c:pt>
                <c:pt idx="6">
                  <c:v>Unbilled</c:v>
                </c:pt>
                <c:pt idx="7">
                  <c:v>External</c:v>
                </c:pt>
                <c:pt idx="8">
                  <c:v>Internal</c:v>
                </c:pt>
              </c:strCache>
            </c:strRef>
          </c:cat>
          <c:val>
            <c:numRef>
              <c:f>'Summary wo FTE%'!$D$5:$D$14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16881.771192000011</c:v>
                </c:pt>
                <c:pt idx="8">
                  <c:v>9645.5975000000053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305-4113-8D67-C71BF6D1C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>
    <tabColor rgb="FF92D05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>
    <tabColor rgb="FFFB6B53"/>
  </sheetPr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2</xdr:row>
          <xdr:rowOff>0</xdr:rowOff>
        </xdr:from>
        <xdr:to>
          <xdr:col>26</xdr:col>
          <xdr:colOff>990600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2</xdr:row>
      <xdr:rowOff>0</xdr:rowOff>
    </xdr:from>
    <xdr:to>
      <xdr:col>12</xdr:col>
      <xdr:colOff>0</xdr:colOff>
      <xdr:row>32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hard F Shafer" refreshedDate="43717.423946875002" createdVersion="6" refreshedVersion="6" minRefreshableVersion="3" recordCount="490" xr:uid="{00000000-000A-0000-FFFF-FFFF15000000}">
  <cacheSource type="worksheet">
    <worksheetSource name="Table1"/>
  </cacheSource>
  <cacheFields count="27">
    <cacheField name="#" numFmtId="0">
      <sharedItems containsSemiMixedTypes="0" containsString="0" containsNumber="1" containsInteger="1" minValue="1" maxValue="490"/>
    </cacheField>
    <cacheField name="Check" numFmtId="0">
      <sharedItems/>
    </cacheField>
    <cacheField name="IPO" numFmtId="0">
      <sharedItems containsMixedTypes="1" containsNumber="1" containsInteger="1" minValue="10574" maxValue="11172"/>
    </cacheField>
    <cacheField name="Work Tag" numFmtId="0">
      <sharedItems/>
    </cacheField>
    <cacheField name="Category" numFmtId="0">
      <sharedItems count="12">
        <s v="External"/>
        <s v="Internal"/>
        <s v="Annual"/>
        <s v="Comp"/>
        <s v="Holiday"/>
        <s v="Sick"/>
        <s v="Match"/>
        <s v="Unbilled"/>
        <s v="Write Off"/>
        <s v="FMLA" u="1"/>
        <s v="Billed" u="1"/>
        <s v="Admin" u="1"/>
      </sharedItems>
    </cacheField>
    <cacheField name="WO#" numFmtId="0">
      <sharedItems containsSemiMixedTypes="0" containsString="0" containsNumber="1" containsInteger="1" minValue="2466" maxValue="2654"/>
    </cacheField>
    <cacheField name="Project Name" numFmtId="0">
      <sharedItems/>
    </cacheField>
    <cacheField name="IPO Date" numFmtId="165">
      <sharedItems containsDate="1" containsMixedTypes="1" minDate="2019-07-31T00:00:00" maxDate="2019-08-31T00:00:00"/>
    </cacheField>
    <cacheField name="Date" numFmtId="164">
      <sharedItems containsSemiMixedTypes="0" containsNonDate="0" containsDate="1" containsString="0" minDate="2019-05-15T00:00:00" maxDate="2019-09-06T00:00:00" count="53"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22T00:00:00"/>
        <d v="2019-07-23T00:00:00"/>
        <d v="2019-07-24T00:00:00"/>
        <d v="2019-07-25T00:00:00"/>
        <d v="2019-07-01T00:00:00"/>
        <d v="2019-07-02T00:00:00"/>
        <d v="2019-07-03T00:00:00"/>
        <d v="2019-07-08T00:00:00"/>
        <d v="2019-07-19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12T00:00:00"/>
        <d v="2019-08-13T00:00:00"/>
        <d v="2019-08-14T00:00:00"/>
        <d v="2019-08-15T00:00:00"/>
        <d v="2019-08-09T00:00:00"/>
        <d v="2019-08-20T00:00:00"/>
        <d v="2019-08-21T00:00:00"/>
        <d v="2019-08-22T00:00:00"/>
        <d v="2019-08-23T00:00:00"/>
        <d v="2019-08-16T00:00:00"/>
        <d v="2019-08-26T00:00:00"/>
        <d v="2019-08-27T00:00:00"/>
        <d v="2019-08-25T00:00:00"/>
        <d v="2019-08-28T00:00:00"/>
        <d v="2019-08-29T00:00:00"/>
        <d v="2019-07-04T00:00:00"/>
        <d v="2019-07-05T00:00:00"/>
        <d v="2019-08-19T00:00:00"/>
        <d v="2019-09-03T00:00:00"/>
        <d v="2019-09-04T00:00:00"/>
        <d v="2019-09-05T00:00:00"/>
        <d v="2019-05-15T00:00:00"/>
        <d v="2019-07-06T00:00:00"/>
        <d v="2019-07-14T00:00:00"/>
        <d v="2019-08-30T00:00:00"/>
        <d v="2019-09-02T00:00:00"/>
      </sharedItems>
      <fieldGroup par="26" base="8">
        <rangePr groupBy="months" startDate="2019-05-15T00:00:00" endDate="2019-09-06T00:00:00"/>
        <groupItems count="14">
          <s v="&lt;5/15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6/2019"/>
        </groupItems>
      </fieldGroup>
    </cacheField>
    <cacheField name="Day" numFmtId="1">
      <sharedItems containsSemiMixedTypes="0" containsString="0" containsNumber="1" containsInteger="1" minValue="1" maxValue="31"/>
    </cacheField>
    <cacheField name="Gen. Admin" numFmtId="2">
      <sharedItems containsSemiMixedTypes="0" containsString="0" containsNumber="1" minValue="0" maxValue="9"/>
    </cacheField>
    <cacheField name="Misc. Requests" numFmtId="2">
      <sharedItems containsSemiMixedTypes="0" containsString="0" containsNumber="1" minValue="0" maxValue="4.25"/>
    </cacheField>
    <cacheField name="IT/Comp/Software" numFmtId="2">
      <sharedItems containsSemiMixedTypes="0" containsString="0" containsNumber="1" minValue="0" maxValue="5.5"/>
    </cacheField>
    <cacheField name="General Work Planning" numFmtId="2">
      <sharedItems containsSemiMixedTypes="0" containsString="0" containsNumber="1" minValue="0" maxValue="6"/>
    </cacheField>
    <cacheField name="Other" numFmtId="2">
      <sharedItems containsSemiMixedTypes="0" containsString="0" containsNumber="1" containsInteger="1" minValue="0" maxValue="0"/>
    </cacheField>
    <cacheField name="Work Admin" numFmtId="2">
      <sharedItems containsSemiMixedTypes="0" containsString="0" containsNumber="1" minValue="-0.15559999999999999" maxValue="11.25"/>
    </cacheField>
    <cacheField name="Time Worked" numFmtId="2">
      <sharedItems containsSemiMixedTypes="0" containsString="0" containsNumber="1" minValue="-0.15559999999999999" maxValue="11.25"/>
    </cacheField>
    <cacheField name="Initials" numFmtId="0">
      <sharedItems count="7">
        <s v="IE"/>
        <s v="JPH"/>
        <s v="JM"/>
        <s v="RM"/>
        <s v="BOGD"/>
        <s v="SW" u="1"/>
        <s v="BOGC" u="1"/>
      </sharedItems>
    </cacheField>
    <cacheField name="All" numFmtId="0">
      <sharedItems/>
    </cacheField>
    <cacheField name="Time Billed" numFmtId="2">
      <sharedItems containsSemiMixedTypes="0" containsString="0" containsNumber="1" minValue="-0.15559999999999999" maxValue="9.5"/>
    </cacheField>
    <cacheField name="FTE %" numFmtId="167">
      <sharedItems containsSemiMixedTypes="0" containsString="0" containsNumber="1" minValue="0.39500000000000002" maxValue="1"/>
    </cacheField>
    <cacheField name="FTE Total Hrs" numFmtId="2">
      <sharedItems containsSemiMixedTypes="0" containsString="0" containsNumber="1" minValue="-0.15559999999999999" maxValue="10"/>
    </cacheField>
    <cacheField name="FTE Total" numFmtId="2">
      <sharedItems containsSemiMixedTypes="0" containsString="0" containsNumber="1" minValue="-9.6363079999999997" maxValue="696.71249999999998"/>
    </cacheField>
    <cacheField name="Total NB" numFmtId="44">
      <sharedItems containsSemiMixedTypes="0" containsString="0" containsNumber="1" minValue="0" maxValue="696.71249999999998"/>
    </cacheField>
    <cacheField name="Total Billed" numFmtId="44">
      <sharedItems containsSemiMixedTypes="0" containsString="0" containsNumber="1" minValue="-9.6363079999999997" maxValue="588.33500000000004"/>
    </cacheField>
    <cacheField name="Quarters" numFmtId="0" databaseField="0">
      <fieldGroup base="8">
        <rangePr groupBy="quarters" startDate="2019-05-15T00:00:00" endDate="2019-09-06T00:00:00"/>
        <groupItems count="6">
          <s v="&lt;5/15/2019"/>
          <s v="Qtr1"/>
          <s v="Qtr2"/>
          <s v="Qtr3"/>
          <s v="Qtr4"/>
          <s v="&gt;9/6/2019"/>
        </groupItems>
      </fieldGroup>
    </cacheField>
    <cacheField name="Years" numFmtId="0" databaseField="0">
      <fieldGroup base="8">
        <rangePr groupBy="years" startDate="2019-05-15T00:00:00" endDate="2019-09-06T00:00:00"/>
        <groupItems count="3">
          <s v="&lt;5/15/2019"/>
          <s v="2019"/>
          <s v="&gt;9/6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ichard F Shafer" refreshedDate="43719.672155902779" backgroundQuery="1" createdVersion="6" refreshedVersion="6" minRefreshableVersion="3" recordCount="0" supportSubquery="1" supportAdvancedDrill="1" xr:uid="{00000000-000A-0000-FFFF-FFFF16000000}">
  <cacheSource type="external" connectionId="1"/>
  <cacheFields count="7">
    <cacheField name="[Table1].[Initials].[Initials]" caption="Initials" numFmtId="0" hierarchy="17" level="1">
      <sharedItems count="4">
        <s v="IE"/>
        <s v="JM"/>
        <s v="JPH"/>
        <s v="RM"/>
      </sharedItems>
    </cacheField>
    <cacheField name="[Measures].[Average Hrs Per WO]" caption="Average Hrs Per WO" numFmtId="0" hierarchy="31" level="32767"/>
    <cacheField name="[Measures].[Total Hours]" caption="Total Hours" numFmtId="0" hierarchy="30" level="32767"/>
    <cacheField name="[Measures].[Work Orders]" caption="Work Orders" numFmtId="0" hierarchy="29" level="32767"/>
    <cacheField name="[Table1].[WO#].[WO#]" caption="WO#" numFmtId="0" hierarchy="5" level="1">
      <sharedItems containsSemiMixedTypes="0" containsNonDate="0" containsString="0"/>
    </cacheField>
    <cacheField name="[Table1].[Date (Year)].[Date (Year)]" caption="Date (Year)" numFmtId="0" hierarchy="25" level="1">
      <sharedItems containsSemiMixedTypes="0" containsNonDate="0" containsString="0"/>
    </cacheField>
    <cacheField name="[Table1].[Date (Month)].[Date (Month)]" caption="Date (Month)" numFmtId="0" hierarchy="27" level="1">
      <sharedItems containsSemiMixedTypes="0" containsNonDate="0" containsString="0"/>
    </cacheField>
  </cacheFields>
  <cacheHierarchies count="39">
    <cacheHierarchy uniqueName="[Table1].[#]" caption="#" attribute="1" defaultMemberUniqueName="[Table1].[#].[All]" allUniqueName="[Table1].[#].[All]" dimensionUniqueName="[Table1]" displayFolder="" count="0" memberValueDatatype="20" unbalanced="0"/>
    <cacheHierarchy uniqueName="[Table1].[Check]" caption="Check" attribute="1" defaultMemberUniqueName="[Table1].[Check].[All]" allUniqueName="[Table1].[Check].[All]" dimensionUniqueName="[Table1]" displayFolder="" count="0" memberValueDatatype="130" unbalanced="0"/>
    <cacheHierarchy uniqueName="[Table1].[IPO]" caption="IPO" attribute="1" defaultMemberUniqueName="[Table1].[IPO].[All]" allUniqueName="[Table1].[IPO].[All]" dimensionUniqueName="[Table1]" displayFolder="" count="0" memberValueDatatype="130" unbalanced="0"/>
    <cacheHierarchy uniqueName="[Table1].[Work Tag]" caption="Work Tag" attribute="1" defaultMemberUniqueName="[Table1].[Work Tag].[All]" allUniqueName="[Table1].[Work Tag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WO#]" caption="WO#" attribute="1" defaultMemberUniqueName="[Table1].[WO#].[All]" allUniqueName="[Table1].[WO#].[All]" dimensionUniqueName="[Table1]" displayFolder="" count="2" memberValueDatatype="20" unbalanced="0">
      <fieldsUsage count="2">
        <fieldUsage x="-1"/>
        <fieldUsage x="4"/>
      </fieldsUsage>
    </cacheHierarchy>
    <cacheHierarchy uniqueName="[Table1].[Project Name]" caption="Project Name" attribute="1" defaultMemberUniqueName="[Table1].[Project Name].[All]" allUniqueName="[Table1].[Project Name].[All]" dimensionUniqueName="[Table1]" displayFolder="" count="0" memberValueDatatype="130" unbalanced="0"/>
    <cacheHierarchy uniqueName="[Table1].[IPO Date]" caption="IPO Date" attribute="1" defaultMemberUniqueName="[Table1].[IPO Date].[All]" allUniqueName="[Table1].[IPO Date].[All]" dimensionUniqueName="[Table1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0" memberValueDatatype="7" unbalanced="0"/>
    <cacheHierarchy uniqueName="[Table1].[Day]" caption="Day" attribute="1" defaultMemberUniqueName="[Table1].[Day].[All]" allUniqueName="[Table1].[Day].[All]" dimensionUniqueName="[Table1]" displayFolder="" count="0" memberValueDatatype="20" unbalanced="0"/>
    <cacheHierarchy uniqueName="[Table1].[Gen. Admin]" caption="Gen. Admin" attribute="1" defaultMemberUniqueName="[Table1].[Gen. Admin].[All]" allUniqueName="[Table1].[Gen. Admin].[All]" dimensionUniqueName="[Table1]" displayFolder="" count="0" memberValueDatatype="5" unbalanced="0"/>
    <cacheHierarchy uniqueName="[Table1].[Misc. Requests]" caption="Misc. Requests" attribute="1" defaultMemberUniqueName="[Table1].[Misc. Requests].[All]" allUniqueName="[Table1].[Misc. Requests].[All]" dimensionUniqueName="[Table1]" displayFolder="" count="0" memberValueDatatype="5" unbalanced="0"/>
    <cacheHierarchy uniqueName="[Table1].[IT/Comp/Software]" caption="IT/Comp/Software" attribute="1" defaultMemberUniqueName="[Table1].[IT/Comp/Software].[All]" allUniqueName="[Table1].[IT/Comp/Software].[All]" dimensionUniqueName="[Table1]" displayFolder="" count="0" memberValueDatatype="5" unbalanced="0"/>
    <cacheHierarchy uniqueName="[Table1].[General Work Planning]" caption="General Work Planning" attribute="1" defaultMemberUniqueName="[Table1].[General Work Planning].[All]" allUniqueName="[Table1].[General Work Planning].[All]" dimensionUniqueName="[Table1]" displayFolder="" count="0" memberValueDatatype="5" unbalanced="0"/>
    <cacheHierarchy uniqueName="[Table1].[Other]" caption="Other" attribute="1" defaultMemberUniqueName="[Table1].[Other].[All]" allUniqueName="[Table1].[Other].[All]" dimensionUniqueName="[Table1]" displayFolder="" count="0" memberValueDatatype="20" unbalanced="0"/>
    <cacheHierarchy uniqueName="[Table1].[Work Admin]" caption="Work Admin" attribute="1" defaultMemberUniqueName="[Table1].[Work Admin].[All]" allUniqueName="[Table1].[Work Admin].[All]" dimensionUniqueName="[Table1]" displayFolder="" count="0" memberValueDatatype="5" unbalanced="0"/>
    <cacheHierarchy uniqueName="[Table1].[Time Worked]" caption="Time Worked" attribute="1" defaultMemberUniqueName="[Table1].[Time Worked].[All]" allUniqueName="[Table1].[Time Worked].[All]" dimensionUniqueName="[Table1]" displayFolder="" count="0" memberValueDatatype="5" unbalanced="0"/>
    <cacheHierarchy uniqueName="[Table1].[Initials]" caption="Initials" attribute="1" defaultMemberUniqueName="[Table1].[Initials].[All]" allUniqueName="[Table1].[Initials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All]" caption="All" attribute="1" defaultMemberUniqueName="[Table1].[All].[All]" allUniqueName="[Table1].[All].[All]" dimensionUniqueName="[Table1]" displayFolder="" count="0" memberValueDatatype="130" unbalanced="0"/>
    <cacheHierarchy uniqueName="[Table1].[Time Billed]" caption="Time Billed" attribute="1" defaultMemberUniqueName="[Table1].[Time Billed].[All]" allUniqueName="[Table1].[Time Billed].[All]" dimensionUniqueName="[Table1]" displayFolder="" count="0" memberValueDatatype="5" unbalanced="0"/>
    <cacheHierarchy uniqueName="[Table1].[FTE %]" caption="FTE %" attribute="1" defaultMemberUniqueName="[Table1].[FTE %].[All]" allUniqueName="[Table1].[FTE %].[All]" dimensionUniqueName="[Table1]" displayFolder="" count="0" memberValueDatatype="5" unbalanced="0"/>
    <cacheHierarchy uniqueName="[Table1].[FTE Total Hrs]" caption="FTE Total Hrs" attribute="1" defaultMemberUniqueName="[Table1].[FTE Total Hrs].[All]" allUniqueName="[Table1].[FTE Total Hrs].[All]" dimensionUniqueName="[Table1]" displayFolder="" count="0" memberValueDatatype="5" unbalanced="0"/>
    <cacheHierarchy uniqueName="[Table1].[FTE Total]" caption="FTE Total" attribute="1" defaultMemberUniqueName="[Table1].[FTE Total].[All]" allUniqueName="[Table1].[FTE Total].[All]" dimensionUniqueName="[Table1]" displayFolder="" count="0" memberValueDatatype="5" unbalanced="0"/>
    <cacheHierarchy uniqueName="[Table1].[Total NB]" caption="Total NB" attribute="1" defaultMemberUniqueName="[Table1].[Total NB].[All]" allUniqueName="[Table1].[Total NB].[All]" dimensionUniqueName="[Table1]" displayFolder="" count="0" memberValueDatatype="5" unbalanced="0"/>
    <cacheHierarchy uniqueName="[Table1].[Total Billed]" caption="Total Billed" attribute="1" defaultMemberUniqueName="[Table1].[Total Billed].[All]" allUniqueName="[Table1].[Total Billed].[All]" dimensionUniqueName="[Table1]" displayFolder="" count="0" memberValueDatatype="5" unbalanced="0"/>
    <cacheHierarchy uniqueName="[Table1].[Date (Year)]" caption="Date (Year)" attribute="1" defaultMemberUniqueName="[Table1].[Date (Year)].[All]" allUniqueName="[Table1].[Date (Year)].[All]" dimensionUniqueName="[Table1]" displayFolder="" count="2" memberValueDatatype="130" unbalanced="0">
      <fieldsUsage count="2">
        <fieldUsage x="-1"/>
        <fieldUsage x="5"/>
      </fieldsUsage>
    </cacheHierarchy>
    <cacheHierarchy uniqueName="[Table1].[Date (Quarter)]" caption="Date (Quarter)" attribute="1" defaultMemberUniqueName="[Table1].[Date (Quarter)].[All]" allUniqueName="[Table1].[Date (Quarter)].[All]" dimensionUniqueName="[Table1]" displayFolder="" count="0" memberValueDatatype="130" unbalanced="0"/>
    <cacheHierarchy uniqueName="[Table1].[Date (Month)]" caption="Date (Month)" attribute="1" defaultMemberUniqueName="[Table1].[Date (Month)].[All]" allUniqueName="[Table1].[Date (Month)].[All]" dimensionUniqueName="[Table1]" displayFolder="" count="2" memberValueDatatype="130" unbalanced="0">
      <fieldsUsage count="2">
        <fieldUsage x="-1"/>
        <fieldUsage x="6"/>
      </fieldsUsage>
    </cacheHierarchy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Work Orders]" caption="Work Orders" measure="1" displayFolder="" measureGroup="Table1" count="0" oneField="1">
      <fieldsUsage count="1">
        <fieldUsage x="3"/>
      </fieldsUsage>
    </cacheHierarchy>
    <cacheHierarchy uniqueName="[Measures].[Total Hours]" caption="Total Hours" measure="1" displayFolder="" measureGroup="Table1" count="0" oneField="1">
      <fieldsUsage count="1">
        <fieldUsage x="2"/>
      </fieldsUsage>
    </cacheHierarchy>
    <cacheHierarchy uniqueName="[Measures].[Average Hrs Per WO]" caption="Average Hrs Per WO" measure="1" displayFolder="" measureGroup="Table1" count="0" oneField="1">
      <fieldsUsage count="1">
        <fieldUsage x="1"/>
      </fieldsUsage>
    </cacheHierarchy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WO#]" caption="Sum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Total NB]" caption="Sum of Total NB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WO#]" caption="Count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Initials]" caption="Count of Initials" measure="1" displayFolder="" measureGroup="Table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Date (Year)]" caption="Count of Date (Year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ichard F Shafer" refreshedDate="43719.672157291665" backgroundQuery="1" createdVersion="6" refreshedVersion="6" minRefreshableVersion="3" recordCount="0" supportSubquery="1" supportAdvancedDrill="1" xr:uid="{00000000-000A-0000-FFFF-FFFF17000000}">
  <cacheSource type="external" connectionId="1"/>
  <cacheFields count="6">
    <cacheField name="[Table1].[IPO].[IPO]" caption="IPO" numFmtId="0" hierarchy="2" level="1">
      <sharedItems containsSemiMixedTypes="0" containsNonDate="0" containsString="0"/>
    </cacheField>
    <cacheField name="[Measures].[Sum of Total NB]" caption="Sum of Total NB" numFmtId="0" hierarchy="35" level="32767"/>
    <cacheField name="[Table1].[Date].[Date]" caption="Date" numFmtId="0" hierarchy="8" level="1">
      <sharedItems containsSemiMixedTypes="0" containsNonDate="0" containsDate="1" containsString="0" count="18"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2T00:00:00"/>
        <d v="2019-04-23T00:00:00"/>
        <d v="2019-04-24T00:00:00"/>
        <d v="2019-04-25T00:00:00"/>
        <d v="2019-04-26T00:00:00"/>
      </sharedItems>
    </cacheField>
    <cacheField name="[Table1].[Date (Month)].[Date (Month)]" caption="Date (Month)" numFmtId="0" hierarchy="27" level="1">
      <sharedItems containsNonDate="0" count="4">
        <s v="Jan"/>
        <s v="Feb"/>
        <s v="Mar"/>
        <s v="Apr"/>
      </sharedItems>
    </cacheField>
    <cacheField name="[Table1].[Date (Year)].[Date (Year)]" caption="Date (Year)" numFmtId="0" hierarchy="25" level="1">
      <sharedItems count="1">
        <s v="2019"/>
      </sharedItems>
    </cacheField>
    <cacheField name="[Table1].[Project Name].[Project Name]" caption="Project Name" numFmtId="0" hierarchy="6" level="1">
      <sharedItems count="22">
        <s v="2019 Preservation Grant"/>
        <s v="2020 AASG Meeting"/>
        <s v="2020 Nevada Geology Calendar"/>
        <s v="Accessibility Work"/>
        <s v="Biennial 2016"/>
        <s v="Forge Geologic Map"/>
        <s v="Gabbs Valley"/>
        <s v="Keck Website"/>
        <s v="Las Vegas Valley"/>
        <s v="Magnet Permitting"/>
        <s v="Major Mines 2018"/>
        <s v="Meetings (P&amp;M) FY20"/>
        <s v="NV MRDP"/>
        <s v="Outreach Opportunities FY20"/>
        <s v="P&amp;M - 2nd Half 2019 (FY20)"/>
        <s v="Petrified Springs Fault Geologic Map"/>
        <s v="SM18 Granite Peak"/>
        <s v="SM18 Independence Valley"/>
        <s v="SM18 Master"/>
        <s v="SM18 Washoe City"/>
        <s v="SM20 Proposal Support"/>
        <s v="Web Maint. 2nd Half 2019 (FY20)"/>
      </sharedItems>
    </cacheField>
  </cacheFields>
  <cacheHierarchies count="39">
    <cacheHierarchy uniqueName="[Table1].[#]" caption="#" attribute="1" defaultMemberUniqueName="[Table1].[#].[All]" allUniqueName="[Table1].[#].[All]" dimensionUniqueName="[Table1]" displayFolder="" count="0" memberValueDatatype="20" unbalanced="0"/>
    <cacheHierarchy uniqueName="[Table1].[Check]" caption="Check" attribute="1" defaultMemberUniqueName="[Table1].[Check].[All]" allUniqueName="[Table1].[Check].[All]" dimensionUniqueName="[Table1]" displayFolder="" count="0" memberValueDatatype="130" unbalanced="0"/>
    <cacheHierarchy uniqueName="[Table1].[IPO]" caption="IPO" attribute="1" defaultMemberUniqueName="[Table1].[IPO].[All]" allUniqueName="[Table1].[IPO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Work Tag]" caption="Work Tag" attribute="1" defaultMemberUniqueName="[Table1].[Work Tag].[All]" allUniqueName="[Table1].[Work Tag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WO#]" caption="WO#" attribute="1" defaultMemberUniqueName="[Table1].[WO#].[All]" allUniqueName="[Table1].[WO#].[All]" dimensionUniqueName="[Table1]" displayFolder="" count="0" memberValueDatatype="20" unbalanced="0"/>
    <cacheHierarchy uniqueName="[Table1].[Project Name]" caption="Project Name" attribute="1" defaultMemberUniqueName="[Table1].[Project Name].[All]" allUniqueName="[Table1].[Project Name].[All]" dimensionUniqueName="[Table1]" displayFolder="" count="2" memberValueDatatype="130" unbalanced="0">
      <fieldsUsage count="2">
        <fieldUsage x="-1"/>
        <fieldUsage x="5"/>
      </fieldsUsage>
    </cacheHierarchy>
    <cacheHierarchy uniqueName="[Table1].[IPO Date]" caption="IPO Date" attribute="1" defaultMemberUniqueName="[Table1].[IPO Date].[All]" allUniqueName="[Table1].[IPO Date].[All]" dimensionUniqueName="[Table1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2"/>
      </fieldsUsage>
    </cacheHierarchy>
    <cacheHierarchy uniqueName="[Table1].[Day]" caption="Day" attribute="1" defaultMemberUniqueName="[Table1].[Day].[All]" allUniqueName="[Table1].[Day].[All]" dimensionUniqueName="[Table1]" displayFolder="" count="0" memberValueDatatype="20" unbalanced="0"/>
    <cacheHierarchy uniqueName="[Table1].[Gen. Admin]" caption="Gen. Admin" attribute="1" defaultMemberUniqueName="[Table1].[Gen. Admin].[All]" allUniqueName="[Table1].[Gen. Admin].[All]" dimensionUniqueName="[Table1]" displayFolder="" count="0" memberValueDatatype="5" unbalanced="0"/>
    <cacheHierarchy uniqueName="[Table1].[Misc. Requests]" caption="Misc. Requests" attribute="1" defaultMemberUniqueName="[Table1].[Misc. Requests].[All]" allUniqueName="[Table1].[Misc. Requests].[All]" dimensionUniqueName="[Table1]" displayFolder="" count="0" memberValueDatatype="5" unbalanced="0"/>
    <cacheHierarchy uniqueName="[Table1].[IT/Comp/Software]" caption="IT/Comp/Software" attribute="1" defaultMemberUniqueName="[Table1].[IT/Comp/Software].[All]" allUniqueName="[Table1].[IT/Comp/Software].[All]" dimensionUniqueName="[Table1]" displayFolder="" count="0" memberValueDatatype="5" unbalanced="0"/>
    <cacheHierarchy uniqueName="[Table1].[General Work Planning]" caption="General Work Planning" attribute="1" defaultMemberUniqueName="[Table1].[General Work Planning].[All]" allUniqueName="[Table1].[General Work Planning].[All]" dimensionUniqueName="[Table1]" displayFolder="" count="0" memberValueDatatype="5" unbalanced="0"/>
    <cacheHierarchy uniqueName="[Table1].[Other]" caption="Other" attribute="1" defaultMemberUniqueName="[Table1].[Other].[All]" allUniqueName="[Table1].[Other].[All]" dimensionUniqueName="[Table1]" displayFolder="" count="0" memberValueDatatype="20" unbalanced="0"/>
    <cacheHierarchy uniqueName="[Table1].[Work Admin]" caption="Work Admin" attribute="1" defaultMemberUniqueName="[Table1].[Work Admin].[All]" allUniqueName="[Table1].[Work Admin].[All]" dimensionUniqueName="[Table1]" displayFolder="" count="0" memberValueDatatype="5" unbalanced="0"/>
    <cacheHierarchy uniqueName="[Table1].[Time Worked]" caption="Time Worked" attribute="1" defaultMemberUniqueName="[Table1].[Time Worked].[All]" allUniqueName="[Table1].[Time Worked].[All]" dimensionUniqueName="[Table1]" displayFolder="" count="0" memberValueDatatype="5" unbalanced="0"/>
    <cacheHierarchy uniqueName="[Table1].[Initials]" caption="Initials" attribute="1" defaultMemberUniqueName="[Table1].[Initials].[All]" allUniqueName="[Table1].[Initials].[All]" dimensionUniqueName="[Table1]" displayFolder="" count="0" memberValueDatatype="130" unbalanced="0"/>
    <cacheHierarchy uniqueName="[Table1].[All]" caption="All" attribute="1" defaultMemberUniqueName="[Table1].[All].[All]" allUniqueName="[Table1].[All].[All]" dimensionUniqueName="[Table1]" displayFolder="" count="0" memberValueDatatype="130" unbalanced="0"/>
    <cacheHierarchy uniqueName="[Table1].[Time Billed]" caption="Time Billed" attribute="1" defaultMemberUniqueName="[Table1].[Time Billed].[All]" allUniqueName="[Table1].[Time Billed].[All]" dimensionUniqueName="[Table1]" displayFolder="" count="0" memberValueDatatype="5" unbalanced="0"/>
    <cacheHierarchy uniqueName="[Table1].[FTE %]" caption="FTE %" attribute="1" defaultMemberUniqueName="[Table1].[FTE %].[All]" allUniqueName="[Table1].[FTE %].[All]" dimensionUniqueName="[Table1]" displayFolder="" count="0" memberValueDatatype="5" unbalanced="0"/>
    <cacheHierarchy uniqueName="[Table1].[FTE Total Hrs]" caption="FTE Total Hrs" attribute="1" defaultMemberUniqueName="[Table1].[FTE Total Hrs].[All]" allUniqueName="[Table1].[FTE Total Hrs].[All]" dimensionUniqueName="[Table1]" displayFolder="" count="0" memberValueDatatype="5" unbalanced="0"/>
    <cacheHierarchy uniqueName="[Table1].[FTE Total]" caption="FTE Total" attribute="1" defaultMemberUniqueName="[Table1].[FTE Total].[All]" allUniqueName="[Table1].[FTE Total].[All]" dimensionUniqueName="[Table1]" displayFolder="" count="0" memberValueDatatype="5" unbalanced="0"/>
    <cacheHierarchy uniqueName="[Table1].[Total NB]" caption="Total NB" attribute="1" defaultMemberUniqueName="[Table1].[Total NB].[All]" allUniqueName="[Table1].[Total NB].[All]" dimensionUniqueName="[Table1]" displayFolder="" count="0" memberValueDatatype="5" unbalanced="0"/>
    <cacheHierarchy uniqueName="[Table1].[Total Billed]" caption="Total Billed" attribute="1" defaultMemberUniqueName="[Table1].[Total Billed].[All]" allUniqueName="[Table1].[Total Billed].[All]" dimensionUniqueName="[Table1]" displayFolder="" count="0" memberValueDatatype="5" unbalanced="0"/>
    <cacheHierarchy uniqueName="[Table1].[Date (Year)]" caption="Date (Year)" attribute="1" defaultMemberUniqueName="[Table1].[Date (Year)].[All]" allUniqueName="[Table1].[Date (Year)].[All]" dimensionUniqueName="[Table1]" displayFolder="" count="2" memberValueDatatype="130" unbalanced="0">
      <fieldsUsage count="2">
        <fieldUsage x="-1"/>
        <fieldUsage x="4"/>
      </fieldsUsage>
    </cacheHierarchy>
    <cacheHierarchy uniqueName="[Table1].[Date (Quarter)]" caption="Date (Quarter)" attribute="1" defaultMemberUniqueName="[Table1].[Date (Quarter)].[All]" allUniqueName="[Table1].[Date (Quarter)].[All]" dimensionUniqueName="[Table1]" displayFolder="" count="0" memberValueDatatype="130" unbalanced="0"/>
    <cacheHierarchy uniqueName="[Table1].[Date (Month)]" caption="Date (Month)" attribute="1" defaultMemberUniqueName="[Table1].[Date (Month)].[All]" allUniqueName="[Table1].[Date (Month)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Work Orders]" caption="Work Orders" measure="1" displayFolder="" measureGroup="Table1" count="0"/>
    <cacheHierarchy uniqueName="[Measures].[Total Hours]" caption="Total Hours" measure="1" displayFolder="" measureGroup="Table1" count="0"/>
    <cacheHierarchy uniqueName="[Measures].[Average Hrs Per WO]" caption="Average Hrs Per WO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WO#]" caption="Sum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Total NB]" caption="Sum of Total NB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WO#]" caption="Count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Initials]" caption="Count of Initials" measure="1" displayFolder="" measureGroup="Table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Date (Year)]" caption="Count of Date (Year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ichard F Shafer" refreshedDate="43719.672158333335" backgroundQuery="1" createdVersion="6" refreshedVersion="6" minRefreshableVersion="3" recordCount="0" supportSubquery="1" supportAdvancedDrill="1" xr:uid="{00000000-000A-0000-FFFF-FFFF18000000}">
  <cacheSource type="external" connectionId="1"/>
  <cacheFields count="7">
    <cacheField name="[Table1].[Initials].[Initials]" caption="Initials" numFmtId="0" hierarchy="17" level="1">
      <sharedItems count="4">
        <s v="IE"/>
        <s v="JM"/>
        <s v="JPH"/>
        <s v="RM"/>
      </sharedItems>
    </cacheField>
    <cacheField name="[Measures].[Work Orders]" caption="Work Orders" numFmtId="0" hierarchy="29" level="32767"/>
    <cacheField name="[Table1].[Date (Year)].[Date (Year)]" caption="Date (Year)" numFmtId="0" hierarchy="25" level="1">
      <sharedItems containsSemiMixedTypes="0" containsNonDate="0" containsString="0"/>
    </cacheField>
    <cacheField name="[Measures].[Total Hours]" caption="Total Hours" numFmtId="0" hierarchy="30" level="32767"/>
    <cacheField name="[Measures].[Average Hrs Per WO]" caption="Average Hrs Per WO" numFmtId="0" hierarchy="31" level="32767"/>
    <cacheField name="[Table1].[WO#].[WO#]" caption="WO#" numFmtId="0" hierarchy="5" level="1">
      <sharedItems containsSemiMixedTypes="0" containsNonDate="0" containsString="0"/>
    </cacheField>
    <cacheField name="[Table1].[Date (Month)].[Date (Month)]" caption="Date (Month)" numFmtId="0" hierarchy="27" level="1">
      <sharedItems containsSemiMixedTypes="0" containsNonDate="0" containsString="0"/>
    </cacheField>
  </cacheFields>
  <cacheHierarchies count="39">
    <cacheHierarchy uniqueName="[Table1].[#]" caption="#" attribute="1" defaultMemberUniqueName="[Table1].[#].[All]" allUniqueName="[Table1].[#].[All]" dimensionUniqueName="[Table1]" displayFolder="" count="0" memberValueDatatype="20" unbalanced="0"/>
    <cacheHierarchy uniqueName="[Table1].[Check]" caption="Check" attribute="1" defaultMemberUniqueName="[Table1].[Check].[All]" allUniqueName="[Table1].[Check].[All]" dimensionUniqueName="[Table1]" displayFolder="" count="0" memberValueDatatype="130" unbalanced="0"/>
    <cacheHierarchy uniqueName="[Table1].[IPO]" caption="IPO" attribute="1" defaultMemberUniqueName="[Table1].[IPO].[All]" allUniqueName="[Table1].[IPO].[All]" dimensionUniqueName="[Table1]" displayFolder="" count="0" memberValueDatatype="130" unbalanced="0"/>
    <cacheHierarchy uniqueName="[Table1].[Work Tag]" caption="Work Tag" attribute="1" defaultMemberUniqueName="[Table1].[Work Tag].[All]" allUniqueName="[Table1].[Work Tag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WO#]" caption="WO#" attribute="1" defaultMemberUniqueName="[Table1].[WO#].[All]" allUniqueName="[Table1].[WO#].[All]" dimensionUniqueName="[Table1]" displayFolder="" count="2" memberValueDatatype="20" unbalanced="0">
      <fieldsUsage count="2">
        <fieldUsage x="-1"/>
        <fieldUsage x="5"/>
      </fieldsUsage>
    </cacheHierarchy>
    <cacheHierarchy uniqueName="[Table1].[Project Name]" caption="Project Name" attribute="1" defaultMemberUniqueName="[Table1].[Project Name].[All]" allUniqueName="[Table1].[Project Name].[All]" dimensionUniqueName="[Table1]" displayFolder="" count="0" memberValueDatatype="130" unbalanced="0"/>
    <cacheHierarchy uniqueName="[Table1].[IPO Date]" caption="IPO Date" attribute="1" defaultMemberUniqueName="[Table1].[IPO Date].[All]" allUniqueName="[Table1].[IPO Date].[All]" dimensionUniqueName="[Table1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0" memberValueDatatype="7" unbalanced="0"/>
    <cacheHierarchy uniqueName="[Table1].[Day]" caption="Day" attribute="1" defaultMemberUniqueName="[Table1].[Day].[All]" allUniqueName="[Table1].[Day].[All]" dimensionUniqueName="[Table1]" displayFolder="" count="0" memberValueDatatype="20" unbalanced="0"/>
    <cacheHierarchy uniqueName="[Table1].[Gen. Admin]" caption="Gen. Admin" attribute="1" defaultMemberUniqueName="[Table1].[Gen. Admin].[All]" allUniqueName="[Table1].[Gen. Admin].[All]" dimensionUniqueName="[Table1]" displayFolder="" count="0" memberValueDatatype="5" unbalanced="0"/>
    <cacheHierarchy uniqueName="[Table1].[Misc. Requests]" caption="Misc. Requests" attribute="1" defaultMemberUniqueName="[Table1].[Misc. Requests].[All]" allUniqueName="[Table1].[Misc. Requests].[All]" dimensionUniqueName="[Table1]" displayFolder="" count="0" memberValueDatatype="5" unbalanced="0"/>
    <cacheHierarchy uniqueName="[Table1].[IT/Comp/Software]" caption="IT/Comp/Software" attribute="1" defaultMemberUniqueName="[Table1].[IT/Comp/Software].[All]" allUniqueName="[Table1].[IT/Comp/Software].[All]" dimensionUniqueName="[Table1]" displayFolder="" count="0" memberValueDatatype="5" unbalanced="0"/>
    <cacheHierarchy uniqueName="[Table1].[General Work Planning]" caption="General Work Planning" attribute="1" defaultMemberUniqueName="[Table1].[General Work Planning].[All]" allUniqueName="[Table1].[General Work Planning].[All]" dimensionUniqueName="[Table1]" displayFolder="" count="0" memberValueDatatype="5" unbalanced="0"/>
    <cacheHierarchy uniqueName="[Table1].[Other]" caption="Other" attribute="1" defaultMemberUniqueName="[Table1].[Other].[All]" allUniqueName="[Table1].[Other].[All]" dimensionUniqueName="[Table1]" displayFolder="" count="0" memberValueDatatype="20" unbalanced="0"/>
    <cacheHierarchy uniqueName="[Table1].[Work Admin]" caption="Work Admin" attribute="1" defaultMemberUniqueName="[Table1].[Work Admin].[All]" allUniqueName="[Table1].[Work Admin].[All]" dimensionUniqueName="[Table1]" displayFolder="" count="0" memberValueDatatype="5" unbalanced="0"/>
    <cacheHierarchy uniqueName="[Table1].[Time Worked]" caption="Time Worked" attribute="1" defaultMemberUniqueName="[Table1].[Time Worked].[All]" allUniqueName="[Table1].[Time Worked].[All]" dimensionUniqueName="[Table1]" displayFolder="" count="0" memberValueDatatype="5" unbalanced="0"/>
    <cacheHierarchy uniqueName="[Table1].[Initials]" caption="Initials" attribute="1" defaultMemberUniqueName="[Table1].[Initials].[All]" allUniqueName="[Table1].[Initials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All]" caption="All" attribute="1" defaultMemberUniqueName="[Table1].[All].[All]" allUniqueName="[Table1].[All].[All]" dimensionUniqueName="[Table1]" displayFolder="" count="0" memberValueDatatype="130" unbalanced="0"/>
    <cacheHierarchy uniqueName="[Table1].[Time Billed]" caption="Time Billed" attribute="1" defaultMemberUniqueName="[Table1].[Time Billed].[All]" allUniqueName="[Table1].[Time Billed].[All]" dimensionUniqueName="[Table1]" displayFolder="" count="0" memberValueDatatype="5" unbalanced="0"/>
    <cacheHierarchy uniqueName="[Table1].[FTE %]" caption="FTE %" attribute="1" defaultMemberUniqueName="[Table1].[FTE %].[All]" allUniqueName="[Table1].[FTE %].[All]" dimensionUniqueName="[Table1]" displayFolder="" count="0" memberValueDatatype="5" unbalanced="0"/>
    <cacheHierarchy uniqueName="[Table1].[FTE Total Hrs]" caption="FTE Total Hrs" attribute="1" defaultMemberUniqueName="[Table1].[FTE Total Hrs].[All]" allUniqueName="[Table1].[FTE Total Hrs].[All]" dimensionUniqueName="[Table1]" displayFolder="" count="0" memberValueDatatype="5" unbalanced="0"/>
    <cacheHierarchy uniqueName="[Table1].[FTE Total]" caption="FTE Total" attribute="1" defaultMemberUniqueName="[Table1].[FTE Total].[All]" allUniqueName="[Table1].[FTE Total].[All]" dimensionUniqueName="[Table1]" displayFolder="" count="0" memberValueDatatype="5" unbalanced="0"/>
    <cacheHierarchy uniqueName="[Table1].[Total NB]" caption="Total NB" attribute="1" defaultMemberUniqueName="[Table1].[Total NB].[All]" allUniqueName="[Table1].[Total NB].[All]" dimensionUniqueName="[Table1]" displayFolder="" count="0" memberValueDatatype="5" unbalanced="0"/>
    <cacheHierarchy uniqueName="[Table1].[Total Billed]" caption="Total Billed" attribute="1" defaultMemberUniqueName="[Table1].[Total Billed].[All]" allUniqueName="[Table1].[Total Billed].[All]" dimensionUniqueName="[Table1]" displayFolder="" count="0" memberValueDatatype="5" unbalanced="0"/>
    <cacheHierarchy uniqueName="[Table1].[Date (Year)]" caption="Date (Year)" attribute="1" defaultMemberUniqueName="[Table1].[Date (Year)].[All]" allUniqueName="[Table1].[Date (Year)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Date (Quarter)]" caption="Date (Quarter)" attribute="1" defaultMemberUniqueName="[Table1].[Date (Quarter)].[All]" allUniqueName="[Table1].[Date (Quarter)].[All]" dimensionUniqueName="[Table1]" displayFolder="" count="0" memberValueDatatype="130" unbalanced="0"/>
    <cacheHierarchy uniqueName="[Table1].[Date (Month)]" caption="Date (Month)" attribute="1" defaultMemberUniqueName="[Table1].[Date (Month)].[All]" allUniqueName="[Table1].[Date (Month)].[All]" dimensionUniqueName="[Table1]" displayFolder="" count="2" memberValueDatatype="130" unbalanced="0">
      <fieldsUsage count="2">
        <fieldUsage x="-1"/>
        <fieldUsage x="6"/>
      </fieldsUsage>
    </cacheHierarchy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Work Orders]" caption="Work Orders" measure="1" displayFolder="" measureGroup="Table1" count="0" oneField="1">
      <fieldsUsage count="1">
        <fieldUsage x="1"/>
      </fieldsUsage>
    </cacheHierarchy>
    <cacheHierarchy uniqueName="[Measures].[Total Hours]" caption="Total Hours" measure="1" displayFolder="" measureGroup="Table1" count="0" oneField="1">
      <fieldsUsage count="1">
        <fieldUsage x="3"/>
      </fieldsUsage>
    </cacheHierarchy>
    <cacheHierarchy uniqueName="[Measures].[Average Hrs Per WO]" caption="Average Hrs Per WO" measure="1" displayFolder="" measureGroup="Table1" count="0" oneField="1">
      <fieldsUsage count="1">
        <fieldUsage x="4"/>
      </fieldsUsage>
    </cacheHierarchy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WO#]" caption="Sum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Total NB]" caption="Sum of Total NB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WO#]" caption="Count of WO#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Initials]" caption="Count of Initials" measure="1" displayFolder="" measureGroup="Table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Date (Year)]" caption="Count of Date (Year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0">
  <r>
    <n v="1"/>
    <s v="7920192524IE"/>
    <n v="10574"/>
    <s v="GR03702"/>
    <x v="0"/>
    <n v="2524"/>
    <s v="Las Vegas Valley"/>
    <d v="2019-07-31T00:00:00"/>
    <x v="0"/>
    <n v="9"/>
    <n v="0"/>
    <n v="0"/>
    <n v="0"/>
    <n v="0"/>
    <n v="0"/>
    <n v="8.75"/>
    <n v="8.75"/>
    <x v="0"/>
    <s v="All"/>
    <n v="8.75"/>
    <n v="1"/>
    <n v="8.75"/>
    <n v="541.88750000000005"/>
    <n v="0"/>
    <n v="541.88750000000005"/>
  </r>
  <r>
    <n v="2"/>
    <s v="71020192524IE"/>
    <n v="10574"/>
    <s v="GR03702"/>
    <x v="0"/>
    <n v="2524"/>
    <s v="Las Vegas Valley"/>
    <d v="2019-07-31T00:00:00"/>
    <x v="1"/>
    <n v="10"/>
    <n v="0"/>
    <n v="0"/>
    <n v="0"/>
    <n v="0"/>
    <n v="0"/>
    <n v="9.25"/>
    <n v="9.25"/>
    <x v="0"/>
    <s v="All"/>
    <n v="9.25"/>
    <n v="1"/>
    <n v="9.25"/>
    <n v="572.85249999999996"/>
    <n v="0"/>
    <n v="572.85249999999996"/>
  </r>
  <r>
    <n v="3"/>
    <s v="71120192524IE"/>
    <n v="10574"/>
    <s v="GR03702"/>
    <x v="0"/>
    <n v="2524"/>
    <s v="Las Vegas Valley"/>
    <d v="2019-07-31T00:00:00"/>
    <x v="2"/>
    <n v="11"/>
    <n v="0"/>
    <n v="0"/>
    <n v="0"/>
    <n v="0"/>
    <n v="0"/>
    <n v="3"/>
    <n v="3"/>
    <x v="0"/>
    <s v="All"/>
    <n v="3"/>
    <n v="1"/>
    <n v="3"/>
    <n v="185.79"/>
    <n v="0"/>
    <n v="185.79"/>
  </r>
  <r>
    <n v="4"/>
    <s v="71220192524IE"/>
    <n v="10574"/>
    <s v="GR03702"/>
    <x v="0"/>
    <n v="2524"/>
    <s v="Las Vegas Valley"/>
    <d v="2019-07-31T00:00:00"/>
    <x v="3"/>
    <n v="12"/>
    <n v="0"/>
    <n v="0"/>
    <n v="0"/>
    <n v="0"/>
    <n v="0"/>
    <n v="3.5"/>
    <n v="3.5"/>
    <x v="0"/>
    <s v="All"/>
    <n v="3.5"/>
    <n v="1"/>
    <n v="3.5"/>
    <n v="216.755"/>
    <n v="0"/>
    <n v="216.755"/>
  </r>
  <r>
    <n v="5"/>
    <s v="71520192524IE"/>
    <n v="10574"/>
    <s v="GR03702"/>
    <x v="0"/>
    <n v="2524"/>
    <s v="Las Vegas Valley"/>
    <d v="2019-07-31T00:00:00"/>
    <x v="4"/>
    <n v="15"/>
    <n v="0"/>
    <n v="0"/>
    <n v="0"/>
    <n v="0"/>
    <n v="0"/>
    <n v="6.5"/>
    <n v="6.5"/>
    <x v="0"/>
    <s v="All"/>
    <n v="6.5"/>
    <n v="1"/>
    <n v="6.5"/>
    <n v="402.54500000000002"/>
    <n v="0"/>
    <n v="402.54500000000002"/>
  </r>
  <r>
    <n v="6"/>
    <s v="71620192524IE"/>
    <n v="10574"/>
    <s v="GR03702"/>
    <x v="0"/>
    <n v="2524"/>
    <s v="Las Vegas Valley"/>
    <d v="2019-07-31T00:00:00"/>
    <x v="5"/>
    <n v="16"/>
    <n v="0"/>
    <n v="0"/>
    <n v="0"/>
    <n v="0"/>
    <n v="0"/>
    <n v="7.5"/>
    <n v="7.5"/>
    <x v="0"/>
    <s v="All"/>
    <n v="7.5"/>
    <n v="1"/>
    <n v="7.5"/>
    <n v="464.47500000000002"/>
    <n v="0"/>
    <n v="464.47500000000002"/>
  </r>
  <r>
    <n v="7"/>
    <s v="71720192524IE"/>
    <n v="10574"/>
    <s v="GR03702"/>
    <x v="0"/>
    <n v="2524"/>
    <s v="Las Vegas Valley"/>
    <d v="2019-07-31T00:00:00"/>
    <x v="6"/>
    <n v="17"/>
    <n v="0"/>
    <n v="0"/>
    <n v="0"/>
    <n v="0"/>
    <n v="0"/>
    <n v="7"/>
    <n v="7"/>
    <x v="0"/>
    <s v="All"/>
    <n v="7"/>
    <n v="1"/>
    <n v="7"/>
    <n v="433.51"/>
    <n v="0"/>
    <n v="433.51"/>
  </r>
  <r>
    <n v="8"/>
    <s v="71820192524IE"/>
    <n v="10574"/>
    <s v="GR03702"/>
    <x v="0"/>
    <n v="2524"/>
    <s v="Las Vegas Valley"/>
    <d v="2019-07-31T00:00:00"/>
    <x v="7"/>
    <n v="18"/>
    <n v="0"/>
    <n v="0"/>
    <n v="0"/>
    <n v="0"/>
    <n v="0"/>
    <n v="4.5"/>
    <n v="4.5"/>
    <x v="0"/>
    <s v="All"/>
    <n v="4.5"/>
    <n v="1"/>
    <n v="4.5"/>
    <n v="278.685"/>
    <n v="0"/>
    <n v="278.685"/>
  </r>
  <r>
    <n v="9"/>
    <s v="72220192524IE"/>
    <n v="10574"/>
    <s v="GR03702"/>
    <x v="0"/>
    <n v="2524"/>
    <s v="Las Vegas Valley"/>
    <d v="2019-07-31T00:00:00"/>
    <x v="8"/>
    <n v="22"/>
    <n v="0"/>
    <n v="0"/>
    <n v="0"/>
    <n v="0"/>
    <n v="0"/>
    <n v="6.25"/>
    <n v="6.25"/>
    <x v="0"/>
    <s v="All"/>
    <n v="6.25"/>
    <n v="1"/>
    <n v="6.25"/>
    <n v="387.0625"/>
    <n v="0"/>
    <n v="387.0625"/>
  </r>
  <r>
    <n v="10"/>
    <s v="72320192524IE"/>
    <n v="10574"/>
    <s v="GR03702"/>
    <x v="0"/>
    <n v="2524"/>
    <s v="Las Vegas Valley"/>
    <d v="2019-07-31T00:00:00"/>
    <x v="9"/>
    <n v="23"/>
    <n v="0"/>
    <n v="0"/>
    <n v="0"/>
    <n v="0"/>
    <n v="0"/>
    <n v="8.5"/>
    <n v="8.5"/>
    <x v="0"/>
    <s v="All"/>
    <n v="8.5"/>
    <n v="1"/>
    <n v="8.5"/>
    <n v="526.40499999999997"/>
    <n v="0"/>
    <n v="526.40499999999997"/>
  </r>
  <r>
    <n v="11"/>
    <s v="72420192524IE"/>
    <n v="10574"/>
    <s v="GR03702"/>
    <x v="0"/>
    <n v="2524"/>
    <s v="Las Vegas Valley"/>
    <d v="2019-07-31T00:00:00"/>
    <x v="10"/>
    <n v="24"/>
    <n v="0"/>
    <n v="0"/>
    <n v="0"/>
    <n v="0"/>
    <n v="0"/>
    <n v="4.5"/>
    <n v="4.5"/>
    <x v="0"/>
    <s v="All"/>
    <n v="4.5"/>
    <n v="1"/>
    <n v="4.5"/>
    <n v="278.685"/>
    <n v="0"/>
    <n v="278.685"/>
  </r>
  <r>
    <n v="12"/>
    <s v="72520192524IE"/>
    <n v="10574"/>
    <s v="GR03702"/>
    <x v="0"/>
    <n v="2524"/>
    <s v="Las Vegas Valley"/>
    <d v="2019-07-31T00:00:00"/>
    <x v="11"/>
    <n v="25"/>
    <n v="0"/>
    <n v="0"/>
    <n v="0"/>
    <n v="0"/>
    <n v="0"/>
    <n v="4.5"/>
    <n v="4.5"/>
    <x v="0"/>
    <s v="All"/>
    <n v="4.5"/>
    <n v="1"/>
    <n v="4.5"/>
    <n v="278.685"/>
    <n v="0"/>
    <n v="278.685"/>
  </r>
  <r>
    <n v="13"/>
    <s v="7120192627JPH"/>
    <n v="10575"/>
    <s v="PG06767"/>
    <x v="1"/>
    <n v="2627"/>
    <s v="2020 Nevada Geology Calendar"/>
    <d v="2019-07-31T00:00:00"/>
    <x v="12"/>
    <n v="1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4"/>
    <s v="7220192627JPH"/>
    <n v="10575"/>
    <s v="PG06767"/>
    <x v="1"/>
    <n v="2627"/>
    <s v="2020 Nevada Geology Calendar"/>
    <d v="2019-07-31T00:00:00"/>
    <x v="13"/>
    <n v="2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5"/>
    <s v="7320192627JPH"/>
    <n v="10575"/>
    <s v="PG06767"/>
    <x v="1"/>
    <n v="2627"/>
    <s v="2020 Nevada Geology Calendar"/>
    <d v="2019-07-31T00:00:00"/>
    <x v="14"/>
    <n v="3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6"/>
    <s v="7820192627JPH"/>
    <n v="10575"/>
    <s v="PG06767"/>
    <x v="1"/>
    <n v="2627"/>
    <s v="2020 Nevada Geology Calendar"/>
    <d v="2019-07-31T00:00:00"/>
    <x v="15"/>
    <n v="8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7"/>
    <s v="7920192627JPH"/>
    <n v="10575"/>
    <s v="PG06767"/>
    <x v="1"/>
    <n v="2627"/>
    <s v="2020 Nevada Geology Calendar"/>
    <d v="2019-07-31T00:00:00"/>
    <x v="0"/>
    <n v="9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8"/>
    <s v="71020192627JPH"/>
    <n v="10575"/>
    <s v="PG06767"/>
    <x v="1"/>
    <n v="2627"/>
    <s v="2020 Nevada Geology Calendar"/>
    <d v="2019-07-31T00:00:00"/>
    <x v="1"/>
    <n v="10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9"/>
    <s v="71120192627JPH"/>
    <n v="10575"/>
    <s v="PG06767"/>
    <x v="1"/>
    <n v="2627"/>
    <s v="2020 Nevada Geology Calendar"/>
    <d v="2019-07-31T00:00:00"/>
    <x v="2"/>
    <n v="11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0"/>
    <s v="71220192627JPH"/>
    <n v="10575"/>
    <s v="PG06767"/>
    <x v="1"/>
    <n v="2627"/>
    <s v="2020 Nevada Geology Calendar"/>
    <d v="2019-07-31T00:00:00"/>
    <x v="3"/>
    <n v="12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1"/>
    <s v="71520192627JPH"/>
    <n v="10575"/>
    <s v="PG06767"/>
    <x v="1"/>
    <n v="2627"/>
    <s v="2020 Nevada Geology Calendar"/>
    <d v="2019-07-31T00:00:00"/>
    <x v="4"/>
    <n v="15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2"/>
    <s v="71620192627JPH"/>
    <n v="10575"/>
    <s v="PG06767"/>
    <x v="1"/>
    <n v="2627"/>
    <s v="2020 Nevada Geology Calendar"/>
    <d v="2019-07-31T00:00:00"/>
    <x v="5"/>
    <n v="16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3"/>
    <s v="71720192627JPH"/>
    <n v="10575"/>
    <s v="PG06767"/>
    <x v="1"/>
    <n v="2627"/>
    <s v="2020 Nevada Geology Calendar"/>
    <d v="2019-07-31T00:00:00"/>
    <x v="6"/>
    <n v="17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4"/>
    <s v="71820192627JPH"/>
    <n v="10575"/>
    <s v="PG06767"/>
    <x v="1"/>
    <n v="2627"/>
    <s v="2020 Nevada Geology Calendar"/>
    <d v="2019-07-31T00:00:00"/>
    <x v="7"/>
    <n v="18"/>
    <n v="0"/>
    <n v="0"/>
    <n v="0"/>
    <n v="0"/>
    <n v="0"/>
    <n v="1"/>
    <n v="1"/>
    <x v="1"/>
    <s v="All"/>
    <n v="1"/>
    <n v="0.53"/>
    <n v="0.53"/>
    <n v="61.93"/>
    <n v="0"/>
    <n v="61.93"/>
  </r>
  <r>
    <n v="25"/>
    <s v="72220192627JPH"/>
    <n v="10575"/>
    <s v="PG06767"/>
    <x v="1"/>
    <n v="2627"/>
    <s v="2020 Nevada Geology Calendar"/>
    <d v="2019-07-31T00:00:00"/>
    <x v="8"/>
    <n v="22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26"/>
    <s v="72320192627JPH"/>
    <n v="10575"/>
    <s v="PG06767"/>
    <x v="1"/>
    <n v="2627"/>
    <s v="2020 Nevada Geology Calendar"/>
    <d v="2019-07-31T00:00:00"/>
    <x v="9"/>
    <n v="23"/>
    <n v="0"/>
    <n v="0"/>
    <n v="0"/>
    <n v="0"/>
    <n v="0"/>
    <n v="1.25"/>
    <n v="1.25"/>
    <x v="1"/>
    <s v="All"/>
    <n v="1.25"/>
    <n v="0.53"/>
    <n v="0.66250000000000009"/>
    <n v="77.412499999999994"/>
    <n v="0"/>
    <n v="77.412499999999994"/>
  </r>
  <r>
    <n v="27"/>
    <s v="72420192595IE"/>
    <n v="10581"/>
    <s v="GR07439"/>
    <x v="0"/>
    <n v="2595"/>
    <s v="SM18 Granite Peak"/>
    <d v="2019-07-31T00:00:00"/>
    <x v="10"/>
    <n v="24"/>
    <n v="0"/>
    <n v="0"/>
    <n v="0"/>
    <n v="0"/>
    <n v="0"/>
    <n v="0.5"/>
    <n v="0.5"/>
    <x v="0"/>
    <s v="All"/>
    <n v="0.5"/>
    <n v="1"/>
    <n v="0.5"/>
    <n v="30.965"/>
    <n v="0"/>
    <n v="30.965"/>
  </r>
  <r>
    <n v="28"/>
    <s v="72520192595IE"/>
    <n v="10581"/>
    <s v="GR07439"/>
    <x v="0"/>
    <n v="2595"/>
    <s v="SM18 Granite Peak"/>
    <d v="2019-07-31T00:00:00"/>
    <x v="11"/>
    <n v="25"/>
    <n v="0"/>
    <n v="0"/>
    <n v="0"/>
    <n v="0"/>
    <n v="0"/>
    <n v="1.5"/>
    <n v="1.5"/>
    <x v="0"/>
    <s v="All"/>
    <n v="1.5"/>
    <n v="1"/>
    <n v="1.5"/>
    <n v="92.894999999999996"/>
    <n v="0"/>
    <n v="92.894999999999996"/>
  </r>
  <r>
    <n v="29"/>
    <s v="72420192606IE"/>
    <n v="10581"/>
    <s v="GR07440"/>
    <x v="0"/>
    <n v="2606"/>
    <s v="SM18 Independence Valley"/>
    <d v="2019-07-31T00:00:00"/>
    <x v="10"/>
    <n v="24"/>
    <n v="0"/>
    <n v="0"/>
    <n v="0"/>
    <n v="0"/>
    <n v="0"/>
    <n v="0.25"/>
    <n v="0.25"/>
    <x v="0"/>
    <s v="All"/>
    <n v="0.25"/>
    <n v="1"/>
    <n v="0.25"/>
    <n v="15.4825"/>
    <n v="0"/>
    <n v="15.4825"/>
  </r>
  <r>
    <n v="30"/>
    <s v="72520192606IE"/>
    <n v="10581"/>
    <s v="GR07440"/>
    <x v="0"/>
    <n v="2606"/>
    <s v="SM18 Independence Valley"/>
    <d v="2019-07-31T00:00:00"/>
    <x v="11"/>
    <n v="25"/>
    <n v="0"/>
    <n v="0"/>
    <n v="0"/>
    <n v="0"/>
    <n v="0"/>
    <n v="0.5"/>
    <n v="0.5"/>
    <x v="0"/>
    <s v="All"/>
    <n v="0.5"/>
    <n v="1"/>
    <n v="0.5"/>
    <n v="30.965"/>
    <n v="0"/>
    <n v="30.965"/>
  </r>
  <r>
    <n v="31"/>
    <s v="71620192607IE"/>
    <n v="10581"/>
    <s v="GR07436"/>
    <x v="0"/>
    <n v="2607"/>
    <s v="SM18 Washoe City"/>
    <d v="2019-07-31T00:00:00"/>
    <x v="5"/>
    <n v="16"/>
    <n v="0"/>
    <n v="0"/>
    <n v="0"/>
    <n v="0"/>
    <n v="0"/>
    <n v="0.5"/>
    <n v="0.5"/>
    <x v="0"/>
    <s v="All"/>
    <n v="0.5"/>
    <n v="1"/>
    <n v="0.5"/>
    <n v="30.965"/>
    <n v="0"/>
    <n v="30.965"/>
  </r>
  <r>
    <n v="32"/>
    <s v="72320192607IE"/>
    <n v="10581"/>
    <s v="GR07436"/>
    <x v="0"/>
    <n v="2607"/>
    <s v="SM18 Washoe City"/>
    <d v="2019-07-31T00:00:00"/>
    <x v="9"/>
    <n v="23"/>
    <n v="0"/>
    <n v="0"/>
    <n v="0"/>
    <n v="0"/>
    <n v="0"/>
    <n v="0.5"/>
    <n v="0.5"/>
    <x v="0"/>
    <s v="All"/>
    <n v="0.5"/>
    <n v="1"/>
    <n v="0.5"/>
    <n v="30.965"/>
    <n v="0"/>
    <n v="30.965"/>
  </r>
  <r>
    <n v="33"/>
    <s v="72420192607IE"/>
    <n v="10581"/>
    <s v="GR07436"/>
    <x v="0"/>
    <n v="2607"/>
    <s v="SM18 Washoe City"/>
    <d v="2019-07-31T00:00:00"/>
    <x v="10"/>
    <n v="24"/>
    <n v="0"/>
    <n v="0"/>
    <n v="0"/>
    <n v="0"/>
    <n v="0"/>
    <n v="3.5"/>
    <n v="3.5"/>
    <x v="0"/>
    <s v="All"/>
    <n v="3.5"/>
    <n v="1"/>
    <n v="3.5"/>
    <n v="216.755"/>
    <n v="0"/>
    <n v="216.755"/>
  </r>
  <r>
    <n v="34"/>
    <s v="72520192607IE"/>
    <n v="10581"/>
    <s v="GR07436"/>
    <x v="0"/>
    <n v="2607"/>
    <s v="SM18 Washoe City"/>
    <d v="2019-07-31T00:00:00"/>
    <x v="11"/>
    <n v="25"/>
    <n v="0"/>
    <n v="0"/>
    <n v="0"/>
    <n v="0"/>
    <n v="0"/>
    <n v="1"/>
    <n v="1"/>
    <x v="0"/>
    <s v="All"/>
    <n v="1"/>
    <n v="1"/>
    <n v="1"/>
    <n v="61.93"/>
    <n v="0"/>
    <n v="61.93"/>
  </r>
  <r>
    <n v="35"/>
    <s v="7920192601JM"/>
    <n v="10593"/>
    <s v="GR07441"/>
    <x v="0"/>
    <n v="2601"/>
    <s v="SM18 Gordon Creek GIS Migration"/>
    <d v="2019-07-31T00:00:00"/>
    <x v="0"/>
    <n v="9"/>
    <n v="0"/>
    <n v="0"/>
    <n v="0"/>
    <n v="0"/>
    <n v="0"/>
    <n v="1.5"/>
    <n v="1.5"/>
    <x v="2"/>
    <s v="All"/>
    <n v="1.5"/>
    <n v="0.39500000000000002"/>
    <n v="0.59250000000000003"/>
    <n v="92.894999999999996"/>
    <n v="0"/>
    <n v="92.894999999999996"/>
  </r>
  <r>
    <n v="36"/>
    <s v="71120192601IE"/>
    <n v="10593"/>
    <s v="GR07441"/>
    <x v="0"/>
    <n v="2601"/>
    <s v="SM18 Gordon Creek GIS Migration"/>
    <d v="2019-07-31T00:00:00"/>
    <x v="2"/>
    <n v="11"/>
    <n v="0"/>
    <n v="0"/>
    <n v="0"/>
    <n v="0"/>
    <n v="0"/>
    <n v="2"/>
    <n v="2"/>
    <x v="0"/>
    <s v="All"/>
    <n v="2"/>
    <n v="1"/>
    <n v="2"/>
    <n v="123.86"/>
    <n v="0"/>
    <n v="123.86"/>
  </r>
  <r>
    <n v="37"/>
    <s v="71220192601IE"/>
    <n v="10593"/>
    <s v="GR07441"/>
    <x v="0"/>
    <n v="2601"/>
    <s v="SM18 Gordon Creek GIS Migration"/>
    <d v="2019-07-31T00:00:00"/>
    <x v="3"/>
    <n v="12"/>
    <n v="0"/>
    <n v="0"/>
    <n v="0"/>
    <n v="0"/>
    <n v="0"/>
    <n v="0.25"/>
    <n v="0.25"/>
    <x v="0"/>
    <s v="All"/>
    <n v="0.25"/>
    <n v="1"/>
    <n v="0.25"/>
    <n v="15.4825"/>
    <n v="0"/>
    <n v="15.4825"/>
  </r>
  <r>
    <n v="38"/>
    <s v="71920192601JM"/>
    <n v="10593"/>
    <s v="GR07441"/>
    <x v="0"/>
    <n v="2601"/>
    <s v="SM18 Gordon Creek GIS Migration"/>
    <d v="2019-07-31T00:00:00"/>
    <x v="16"/>
    <n v="19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39"/>
    <s v="72220192601IE"/>
    <n v="10593"/>
    <s v="GR07441"/>
    <x v="0"/>
    <n v="2601"/>
    <s v="SM18 Gordon Creek GIS Migration"/>
    <d v="2019-07-31T00:00:00"/>
    <x v="8"/>
    <n v="22"/>
    <n v="0"/>
    <n v="0"/>
    <n v="0"/>
    <n v="0"/>
    <n v="0"/>
    <n v="0.25"/>
    <n v="0.25"/>
    <x v="0"/>
    <s v="All"/>
    <n v="0.25"/>
    <n v="1"/>
    <n v="0.25"/>
    <n v="15.4825"/>
    <n v="0"/>
    <n v="15.4825"/>
  </r>
  <r>
    <n v="40"/>
    <s v="72420192601IE"/>
    <n v="10593"/>
    <s v="GR07441"/>
    <x v="0"/>
    <n v="2601"/>
    <s v="SM18 Gordon Creek GIS Migration"/>
    <d v="2019-07-31T00:00:00"/>
    <x v="10"/>
    <n v="24"/>
    <n v="0"/>
    <n v="0"/>
    <n v="0"/>
    <n v="0"/>
    <n v="0"/>
    <n v="0.75"/>
    <n v="0.75"/>
    <x v="0"/>
    <s v="All"/>
    <n v="0.75"/>
    <n v="1"/>
    <n v="0.75"/>
    <n v="46.447499999999998"/>
    <n v="0"/>
    <n v="46.447499999999998"/>
  </r>
  <r>
    <n v="41"/>
    <s v="72520192601IE"/>
    <n v="10593"/>
    <s v="GR07441"/>
    <x v="0"/>
    <n v="2601"/>
    <s v="SM18 Gordon Creek GIS Migration"/>
    <d v="2019-07-31T00:00:00"/>
    <x v="11"/>
    <n v="25"/>
    <n v="0"/>
    <n v="0"/>
    <n v="0"/>
    <n v="0"/>
    <n v="0"/>
    <n v="0.25"/>
    <n v="0.25"/>
    <x v="0"/>
    <s v="All"/>
    <n v="0.25"/>
    <n v="1"/>
    <n v="0.25"/>
    <n v="15.4825"/>
    <n v="0"/>
    <n v="15.4825"/>
  </r>
  <r>
    <n v="42"/>
    <s v="72420192627JPH"/>
    <n v="10603"/>
    <s v="PG06767"/>
    <x v="1"/>
    <n v="2627"/>
    <s v="2020 Nevada Geology Calendar"/>
    <d v="2019-08-01T00:00:00"/>
    <x v="10"/>
    <n v="24"/>
    <n v="0"/>
    <n v="0"/>
    <n v="0"/>
    <n v="0"/>
    <n v="0"/>
    <n v="3.5"/>
    <n v="3.5"/>
    <x v="1"/>
    <s v="All"/>
    <n v="3.5"/>
    <n v="0.53"/>
    <n v="1.855"/>
    <n v="216.755"/>
    <n v="0"/>
    <n v="216.755"/>
  </r>
  <r>
    <n v="43"/>
    <s v="72520192627JPH"/>
    <n v="10603"/>
    <s v="PG06767"/>
    <x v="1"/>
    <n v="2627"/>
    <s v="2020 Nevada Geology Calendar"/>
    <d v="2019-08-01T00:00:00"/>
    <x v="11"/>
    <n v="25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44"/>
    <s v="72620192627JPH"/>
    <n v="10603"/>
    <s v="PG06767"/>
    <x v="1"/>
    <n v="2627"/>
    <s v="2020 Nevada Geology Calendar"/>
    <d v="2019-08-01T00:00:00"/>
    <x v="17"/>
    <n v="26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45"/>
    <s v="72920192627JPH"/>
    <n v="10603"/>
    <s v="PG06767"/>
    <x v="1"/>
    <n v="2627"/>
    <s v="2020 Nevada Geology Calendar"/>
    <d v="2019-08-01T00:00:00"/>
    <x v="18"/>
    <n v="29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46"/>
    <s v="73020192627JPH"/>
    <n v="10603"/>
    <s v="PG06767"/>
    <x v="1"/>
    <n v="2627"/>
    <s v="2020 Nevada Geology Calendar"/>
    <d v="2019-08-01T00:00:00"/>
    <x v="19"/>
    <n v="30"/>
    <n v="0"/>
    <n v="0"/>
    <n v="0"/>
    <n v="0"/>
    <n v="0"/>
    <n v="3.25"/>
    <n v="3.25"/>
    <x v="1"/>
    <s v="All"/>
    <n v="3.25"/>
    <n v="0.53"/>
    <n v="1.7225000000000001"/>
    <n v="201.27250000000001"/>
    <n v="0"/>
    <n v="201.27250000000001"/>
  </r>
  <r>
    <n v="47"/>
    <s v="73120192627JPH"/>
    <n v="10603"/>
    <s v="PG06767"/>
    <x v="1"/>
    <n v="2627"/>
    <s v="2020 Nevada Geology Calendar"/>
    <d v="2019-08-01T00:00:00"/>
    <x v="20"/>
    <n v="31"/>
    <n v="0"/>
    <n v="0"/>
    <n v="0"/>
    <n v="0"/>
    <n v="0"/>
    <n v="3.25"/>
    <n v="3.25"/>
    <x v="1"/>
    <s v="All"/>
    <n v="3.25"/>
    <n v="0.53"/>
    <n v="1.7225000000000001"/>
    <n v="201.27250000000001"/>
    <n v="0"/>
    <n v="201.27250000000001"/>
  </r>
  <r>
    <n v="48"/>
    <s v="71820192617IE"/>
    <n v="10606"/>
    <s v="GR00991"/>
    <x v="0"/>
    <n v="2617"/>
    <s v="Gabbs Valley"/>
    <d v="2019-08-01T00:00:00"/>
    <x v="7"/>
    <n v="18"/>
    <n v="0"/>
    <n v="0"/>
    <n v="0"/>
    <n v="0"/>
    <n v="0"/>
    <n v="3"/>
    <n v="3"/>
    <x v="0"/>
    <s v="All"/>
    <n v="3"/>
    <n v="1"/>
    <n v="3"/>
    <n v="185.79"/>
    <n v="0"/>
    <n v="185.79"/>
  </r>
  <r>
    <n v="49"/>
    <s v="72220192617IE"/>
    <n v="10606"/>
    <s v="GR00991"/>
    <x v="0"/>
    <n v="2617"/>
    <s v="Gabbs Valley"/>
    <d v="2019-08-01T00:00:00"/>
    <x v="8"/>
    <n v="22"/>
    <n v="0"/>
    <n v="0"/>
    <n v="0"/>
    <n v="0"/>
    <n v="0"/>
    <n v="1.25"/>
    <n v="1.25"/>
    <x v="0"/>
    <s v="All"/>
    <n v="1.25"/>
    <n v="1"/>
    <n v="1.25"/>
    <n v="77.412499999999994"/>
    <n v="0"/>
    <n v="77.412499999999994"/>
  </r>
  <r>
    <n v="50"/>
    <s v="72320192617IE"/>
    <n v="10606"/>
    <s v="GR00991"/>
    <x v="0"/>
    <n v="2617"/>
    <s v="Gabbs Valley"/>
    <d v="2019-08-01T00:00:00"/>
    <x v="9"/>
    <n v="23"/>
    <n v="0"/>
    <n v="0"/>
    <n v="0"/>
    <n v="0"/>
    <n v="0"/>
    <n v="1"/>
    <n v="1"/>
    <x v="0"/>
    <s v="All"/>
    <n v="1"/>
    <n v="1"/>
    <n v="1"/>
    <n v="61.93"/>
    <n v="0"/>
    <n v="61.93"/>
  </r>
  <r>
    <n v="51"/>
    <s v="72520192617IE"/>
    <n v="10606"/>
    <s v="GR00991"/>
    <x v="0"/>
    <n v="2617"/>
    <s v="Gabbs Valley"/>
    <d v="2019-08-01T00:00:00"/>
    <x v="11"/>
    <n v="25"/>
    <n v="0"/>
    <n v="0"/>
    <n v="0"/>
    <n v="0"/>
    <n v="0"/>
    <n v="2.25"/>
    <n v="2.25"/>
    <x v="0"/>
    <s v="All"/>
    <n v="2.25"/>
    <n v="1"/>
    <n v="2.25"/>
    <n v="139.3425"/>
    <n v="0"/>
    <n v="139.3425"/>
  </r>
  <r>
    <n v="52"/>
    <s v="71820192590IE"/>
    <n v="10611"/>
    <s v="GR05347"/>
    <x v="0"/>
    <n v="2590"/>
    <s v="Forge Geologic Map"/>
    <d v="2019-08-01T00:00:00"/>
    <x v="7"/>
    <n v="18"/>
    <n v="0"/>
    <n v="0"/>
    <n v="0"/>
    <n v="0"/>
    <n v="0"/>
    <n v="1"/>
    <n v="1"/>
    <x v="0"/>
    <s v="All"/>
    <n v="1"/>
    <n v="1"/>
    <n v="1"/>
    <n v="61.93"/>
    <n v="0"/>
    <n v="61.93"/>
  </r>
  <r>
    <n v="53"/>
    <s v="8120192627JPH"/>
    <n v="10755"/>
    <s v="PG06767"/>
    <x v="1"/>
    <n v="2627"/>
    <s v="2020 Nevada Geology Calendar"/>
    <d v="2019-08-12T00:00:00"/>
    <x v="21"/>
    <n v="1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54"/>
    <s v="8220192627JPH"/>
    <n v="10755"/>
    <s v="PG06767"/>
    <x v="1"/>
    <n v="2627"/>
    <s v="2020 Nevada Geology Calendar"/>
    <d v="2019-08-12T00:00:00"/>
    <x v="22"/>
    <n v="2"/>
    <n v="0"/>
    <n v="0"/>
    <n v="0"/>
    <n v="0"/>
    <n v="0"/>
    <n v="1.25"/>
    <n v="1.25"/>
    <x v="1"/>
    <s v="All"/>
    <n v="1.25"/>
    <n v="0.53"/>
    <n v="0.66250000000000009"/>
    <n v="77.412499999999994"/>
    <n v="0"/>
    <n v="77.412499999999994"/>
  </r>
  <r>
    <n v="55"/>
    <s v="8520192627JPH"/>
    <n v="10755"/>
    <s v="PG06767"/>
    <x v="1"/>
    <n v="2627"/>
    <s v="2020 Nevada Geology Calendar"/>
    <d v="2019-08-12T00:00:00"/>
    <x v="23"/>
    <n v="5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56"/>
    <s v="8620192627JPH"/>
    <n v="10755"/>
    <s v="PG06767"/>
    <x v="1"/>
    <n v="2627"/>
    <s v="2020 Nevada Geology Calendar"/>
    <d v="2019-08-12T00:00:00"/>
    <x v="24"/>
    <n v="6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57"/>
    <s v="8720192627JPH"/>
    <n v="10755"/>
    <s v="PG06767"/>
    <x v="1"/>
    <n v="2627"/>
    <s v="2020 Nevada Geology Calendar"/>
    <d v="2019-08-12T00:00:00"/>
    <x v="25"/>
    <n v="7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58"/>
    <s v="8820192627JPH"/>
    <n v="10755"/>
    <s v="PG06767"/>
    <x v="1"/>
    <n v="2627"/>
    <s v="2020 Nevada Geology Calendar"/>
    <d v="2019-08-12T00:00:00"/>
    <x v="26"/>
    <n v="8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59"/>
    <s v="8720192651IE"/>
    <n v="10759"/>
    <s v="GF01228"/>
    <x v="1"/>
    <n v="2651"/>
    <s v="Petrified Springs Fault Geologic Map"/>
    <d v="2019-08-12T00:00:00"/>
    <x v="25"/>
    <n v="7"/>
    <n v="0"/>
    <n v="0"/>
    <n v="0"/>
    <n v="0"/>
    <n v="0"/>
    <n v="7.25"/>
    <n v="7.25"/>
    <x v="0"/>
    <s v="All"/>
    <n v="7.25"/>
    <n v="1"/>
    <n v="7.25"/>
    <n v="448.99250000000001"/>
    <n v="0"/>
    <n v="448.99250000000001"/>
  </r>
  <r>
    <n v="60"/>
    <s v="8820192651IE"/>
    <n v="10759"/>
    <s v="GF01228"/>
    <x v="1"/>
    <n v="2651"/>
    <s v="Petrified Springs Fault Geologic Map"/>
    <d v="2019-08-12T00:00:00"/>
    <x v="26"/>
    <n v="8"/>
    <n v="0"/>
    <n v="0"/>
    <n v="0"/>
    <n v="0"/>
    <n v="0"/>
    <n v="4.5"/>
    <n v="4.5"/>
    <x v="0"/>
    <s v="All"/>
    <n v="4.5"/>
    <n v="1"/>
    <n v="4.5"/>
    <n v="278.685"/>
    <n v="0"/>
    <n v="278.685"/>
  </r>
  <r>
    <n v="61"/>
    <s v="8820192595IE"/>
    <n v="10760"/>
    <s v="GR07439"/>
    <x v="0"/>
    <n v="2595"/>
    <s v="SM18 Granite Peak"/>
    <d v="2019-08-12T00:00:00"/>
    <x v="26"/>
    <n v="8"/>
    <n v="0"/>
    <n v="0"/>
    <n v="0"/>
    <n v="0"/>
    <n v="0"/>
    <n v="0.75"/>
    <n v="0.75"/>
    <x v="0"/>
    <s v="All"/>
    <n v="0.75"/>
    <n v="1"/>
    <n v="0.75"/>
    <n v="46.447499999999998"/>
    <n v="0"/>
    <n v="46.447499999999998"/>
  </r>
  <r>
    <n v="62"/>
    <s v="8820192595JM"/>
    <n v="10760"/>
    <s v="GR07439"/>
    <x v="0"/>
    <n v="2595"/>
    <s v="SM18 Granite Peak"/>
    <d v="2019-08-12T00:00:00"/>
    <x v="26"/>
    <n v="8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63"/>
    <s v="8220192606JM"/>
    <n v="10760"/>
    <s v="GR07440"/>
    <x v="0"/>
    <n v="2606"/>
    <s v="SM18 Independence Valley"/>
    <d v="2019-08-12T00:00:00"/>
    <x v="22"/>
    <n v="2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64"/>
    <s v="8620192606IE"/>
    <n v="10760"/>
    <s v="GR07440"/>
    <x v="0"/>
    <n v="2606"/>
    <s v="SM18 Independence Valley"/>
    <d v="2019-08-12T00:00:00"/>
    <x v="24"/>
    <n v="6"/>
    <n v="0"/>
    <n v="0"/>
    <n v="0"/>
    <n v="0"/>
    <n v="0"/>
    <n v="4.25"/>
    <n v="4.25"/>
    <x v="0"/>
    <s v="All"/>
    <n v="4.25"/>
    <n v="1"/>
    <n v="4.25"/>
    <n v="263.20249999999999"/>
    <n v="0"/>
    <n v="263.20249999999999"/>
  </r>
  <r>
    <n v="65"/>
    <s v="8620192607JM"/>
    <n v="10760"/>
    <s v="GR07436"/>
    <x v="0"/>
    <n v="2607"/>
    <s v="SM18 Washoe City"/>
    <d v="2019-08-12T00:00:00"/>
    <x v="24"/>
    <n v="6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66"/>
    <s v="71620192524IE"/>
    <n v="11061"/>
    <s v="GR03702"/>
    <x v="0"/>
    <n v="2524"/>
    <s v="Las Vegas Valley"/>
    <d v="2019-08-26T00:00:00"/>
    <x v="5"/>
    <n v="16"/>
    <n v="0"/>
    <n v="0"/>
    <n v="0"/>
    <n v="0"/>
    <n v="0"/>
    <n v="0.25"/>
    <n v="0.25"/>
    <x v="0"/>
    <s v="All"/>
    <n v="0.25"/>
    <n v="1"/>
    <n v="0.25"/>
    <n v="15.4825"/>
    <n v="0"/>
    <n v="15.4825"/>
  </r>
  <r>
    <n v="67"/>
    <s v="8520192524IE"/>
    <n v="11061"/>
    <s v="GR03702"/>
    <x v="0"/>
    <n v="2524"/>
    <s v="Las Vegas Valley"/>
    <d v="2019-08-26T00:00:00"/>
    <x v="23"/>
    <n v="5"/>
    <n v="0"/>
    <n v="0"/>
    <n v="0"/>
    <n v="0"/>
    <n v="0"/>
    <n v="8.5"/>
    <n v="8.5"/>
    <x v="0"/>
    <s v="All"/>
    <n v="8.5"/>
    <n v="1"/>
    <n v="8.5"/>
    <n v="526.40499999999997"/>
    <n v="0"/>
    <n v="526.40499999999997"/>
  </r>
  <r>
    <n v="68"/>
    <s v="8620192524IE"/>
    <n v="11061"/>
    <s v="GR03702"/>
    <x v="0"/>
    <n v="2524"/>
    <s v="Las Vegas Valley"/>
    <d v="2019-08-26T00:00:00"/>
    <x v="24"/>
    <n v="6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69"/>
    <s v="8720192590IE"/>
    <n v="11062"/>
    <s v="GR05347"/>
    <x v="0"/>
    <n v="2590"/>
    <s v="Forge Geologic Map"/>
    <d v="2019-08-26T00:00:00"/>
    <x v="25"/>
    <n v="7"/>
    <n v="0"/>
    <n v="0"/>
    <n v="0"/>
    <n v="0"/>
    <n v="0"/>
    <n v="0.5"/>
    <n v="0.5"/>
    <x v="0"/>
    <s v="All"/>
    <n v="0.5"/>
    <n v="1"/>
    <n v="0.5"/>
    <n v="30.965"/>
    <n v="0"/>
    <n v="30.965"/>
  </r>
  <r>
    <n v="70"/>
    <s v="8820192590IE"/>
    <n v="11062"/>
    <s v="GR05347"/>
    <x v="0"/>
    <n v="2590"/>
    <s v="Forge Geologic Map"/>
    <d v="2019-08-26T00:00:00"/>
    <x v="26"/>
    <n v="8"/>
    <n v="0"/>
    <n v="0"/>
    <n v="0"/>
    <n v="0"/>
    <n v="0"/>
    <n v="2"/>
    <n v="2"/>
    <x v="0"/>
    <s v="All"/>
    <n v="2"/>
    <n v="1"/>
    <n v="2"/>
    <n v="123.86"/>
    <n v="0"/>
    <n v="123.86"/>
  </r>
  <r>
    <n v="71"/>
    <s v="81220192590IE"/>
    <n v="11062"/>
    <s v="GR05347"/>
    <x v="0"/>
    <n v="2590"/>
    <s v="Forge Geologic Map"/>
    <d v="2019-08-26T00:00:00"/>
    <x v="27"/>
    <n v="12"/>
    <n v="0"/>
    <n v="0"/>
    <n v="0"/>
    <n v="0"/>
    <n v="0"/>
    <n v="0.5"/>
    <n v="0.5"/>
    <x v="0"/>
    <s v="All"/>
    <n v="0.5"/>
    <n v="1"/>
    <n v="0.5"/>
    <n v="30.965"/>
    <n v="0"/>
    <n v="30.965"/>
  </r>
  <r>
    <n v="72"/>
    <s v="81320192590IE"/>
    <n v="11062"/>
    <s v="GR05347"/>
    <x v="0"/>
    <n v="2590"/>
    <s v="Forge Geologic Map"/>
    <d v="2019-08-26T00:00:00"/>
    <x v="28"/>
    <n v="13"/>
    <n v="0"/>
    <n v="0"/>
    <n v="0"/>
    <n v="0"/>
    <n v="0"/>
    <n v="3"/>
    <n v="3"/>
    <x v="0"/>
    <s v="All"/>
    <n v="3"/>
    <n v="1"/>
    <n v="3"/>
    <n v="185.79"/>
    <n v="0"/>
    <n v="185.79"/>
  </r>
  <r>
    <n v="73"/>
    <s v="81420192590IE"/>
    <n v="11062"/>
    <s v="GR05347"/>
    <x v="0"/>
    <n v="2590"/>
    <s v="Forge Geologic Map"/>
    <d v="2019-08-26T00:00:00"/>
    <x v="29"/>
    <n v="14"/>
    <n v="0"/>
    <n v="0"/>
    <n v="0"/>
    <n v="0"/>
    <n v="0"/>
    <n v="7.5"/>
    <n v="7.5"/>
    <x v="0"/>
    <s v="All"/>
    <n v="7.5"/>
    <n v="1"/>
    <n v="7.5"/>
    <n v="464.47500000000002"/>
    <n v="0"/>
    <n v="464.47500000000002"/>
  </r>
  <r>
    <n v="74"/>
    <s v="81520192590IE"/>
    <n v="11062"/>
    <s v="GR05347"/>
    <x v="0"/>
    <n v="2590"/>
    <s v="Forge Geologic Map"/>
    <d v="2019-08-26T00:00:00"/>
    <x v="30"/>
    <n v="15"/>
    <n v="0"/>
    <n v="0"/>
    <n v="0"/>
    <n v="0"/>
    <n v="0"/>
    <n v="7"/>
    <n v="7"/>
    <x v="0"/>
    <s v="All"/>
    <n v="7"/>
    <n v="1"/>
    <n v="7"/>
    <n v="433.51"/>
    <n v="0"/>
    <n v="433.51"/>
  </r>
  <r>
    <n v="75"/>
    <s v="8520192617IE"/>
    <n v="11063"/>
    <s v="GR00991"/>
    <x v="0"/>
    <n v="2617"/>
    <s v="Gabbs Valley"/>
    <d v="2019-08-26T00:00:00"/>
    <x v="23"/>
    <n v="5"/>
    <n v="0"/>
    <n v="0"/>
    <n v="0"/>
    <n v="0"/>
    <n v="0"/>
    <n v="0.25"/>
    <n v="0.25"/>
    <x v="0"/>
    <s v="All"/>
    <n v="0.25"/>
    <n v="1"/>
    <n v="0.25"/>
    <n v="15.4825"/>
    <n v="0"/>
    <n v="15.4825"/>
  </r>
  <r>
    <n v="76"/>
    <s v="8620192617IE"/>
    <n v="11063"/>
    <s v="GR00991"/>
    <x v="0"/>
    <n v="2617"/>
    <s v="Gabbs Valley"/>
    <d v="2019-08-26T00:00:00"/>
    <x v="24"/>
    <n v="6"/>
    <n v="0"/>
    <n v="0"/>
    <n v="0"/>
    <n v="0"/>
    <n v="0"/>
    <n v="1"/>
    <n v="1"/>
    <x v="0"/>
    <s v="All"/>
    <n v="1"/>
    <n v="1"/>
    <n v="1"/>
    <n v="61.93"/>
    <n v="0"/>
    <n v="61.93"/>
  </r>
  <r>
    <n v="77"/>
    <s v="8720192617IE"/>
    <n v="11063"/>
    <s v="GR00991"/>
    <x v="0"/>
    <n v="2617"/>
    <s v="Gabbs Valley"/>
    <d v="2019-08-26T00:00:00"/>
    <x v="25"/>
    <n v="7"/>
    <n v="0"/>
    <n v="0"/>
    <n v="0"/>
    <n v="0"/>
    <n v="0"/>
    <n v="0.25"/>
    <n v="0.25"/>
    <x v="0"/>
    <s v="All"/>
    <n v="0.25"/>
    <n v="1"/>
    <n v="0.25"/>
    <n v="15.4825"/>
    <n v="0"/>
    <n v="15.4825"/>
  </r>
  <r>
    <n v="78"/>
    <s v="8820192617IE"/>
    <n v="11063"/>
    <s v="GR00991"/>
    <x v="0"/>
    <n v="2617"/>
    <s v="Gabbs Valley"/>
    <d v="2019-08-26T00:00:00"/>
    <x v="26"/>
    <n v="8"/>
    <n v="0"/>
    <n v="0"/>
    <n v="0"/>
    <n v="0"/>
    <n v="0"/>
    <n v="2.5"/>
    <n v="2.5"/>
    <x v="0"/>
    <s v="All"/>
    <n v="2.5"/>
    <n v="1"/>
    <n v="2.5"/>
    <n v="154.82499999999999"/>
    <n v="0"/>
    <n v="154.82499999999999"/>
  </r>
  <r>
    <n v="79"/>
    <s v="8920192617JM"/>
    <n v="11063"/>
    <s v="GR00991"/>
    <x v="0"/>
    <n v="2617"/>
    <s v="Gabbs Valley"/>
    <d v="2019-08-26T00:00:00"/>
    <x v="31"/>
    <n v="9"/>
    <n v="0"/>
    <n v="0"/>
    <n v="0"/>
    <n v="0"/>
    <n v="0"/>
    <n v="0.75"/>
    <n v="0.75"/>
    <x v="2"/>
    <s v="All"/>
    <n v="0.75"/>
    <n v="0.39500000000000002"/>
    <n v="0.29625000000000001"/>
    <n v="46.447499999999998"/>
    <n v="0"/>
    <n v="46.447499999999998"/>
  </r>
  <r>
    <n v="80"/>
    <s v="81220192617IE"/>
    <n v="11063"/>
    <s v="GR00991"/>
    <x v="0"/>
    <n v="2617"/>
    <s v="Gabbs Valley"/>
    <d v="2019-08-26T00:00:00"/>
    <x v="27"/>
    <n v="12"/>
    <n v="0"/>
    <n v="0"/>
    <n v="0"/>
    <n v="0"/>
    <n v="0"/>
    <n v="0.5"/>
    <n v="0.5"/>
    <x v="0"/>
    <s v="All"/>
    <n v="0.5"/>
    <n v="1"/>
    <n v="0.5"/>
    <n v="30.965"/>
    <n v="0"/>
    <n v="30.965"/>
  </r>
  <r>
    <n v="81"/>
    <s v="81320192617IE"/>
    <n v="11063"/>
    <s v="GR00991"/>
    <x v="0"/>
    <n v="2617"/>
    <s v="Gabbs Valley"/>
    <d v="2019-08-26T00:00:00"/>
    <x v="28"/>
    <n v="13"/>
    <n v="0"/>
    <n v="0"/>
    <n v="0"/>
    <n v="0"/>
    <n v="0"/>
    <n v="3.5"/>
    <n v="3.5"/>
    <x v="0"/>
    <s v="All"/>
    <n v="3.5"/>
    <n v="1"/>
    <n v="3.5"/>
    <n v="216.755"/>
    <n v="0"/>
    <n v="216.755"/>
  </r>
  <r>
    <n v="82"/>
    <s v="81420192617IE"/>
    <n v="11063"/>
    <s v="GR00991"/>
    <x v="0"/>
    <n v="2617"/>
    <s v="Gabbs Valley"/>
    <d v="2019-08-26T00:00:00"/>
    <x v="29"/>
    <n v="14"/>
    <n v="0"/>
    <n v="0"/>
    <n v="0"/>
    <n v="0"/>
    <n v="0"/>
    <n v="2"/>
    <n v="2"/>
    <x v="0"/>
    <s v="All"/>
    <n v="2"/>
    <n v="1"/>
    <n v="2"/>
    <n v="123.86"/>
    <n v="0"/>
    <n v="123.86"/>
  </r>
  <r>
    <n v="83"/>
    <s v="81420192617JM"/>
    <n v="11063"/>
    <s v="GR00991"/>
    <x v="0"/>
    <n v="2617"/>
    <s v="Gabbs Valley"/>
    <d v="2019-08-26T00:00:00"/>
    <x v="29"/>
    <n v="14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84"/>
    <s v="81220192595IE"/>
    <n v="11066"/>
    <s v="GR07439"/>
    <x v="0"/>
    <n v="2595"/>
    <s v="SM18 Granite Peak"/>
    <d v="2019-08-26T00:00:00"/>
    <x v="27"/>
    <n v="12"/>
    <n v="0"/>
    <n v="0"/>
    <n v="0"/>
    <n v="0"/>
    <n v="0"/>
    <n v="4"/>
    <n v="4"/>
    <x v="0"/>
    <s v="All"/>
    <n v="4"/>
    <n v="1"/>
    <n v="4"/>
    <n v="247.72"/>
    <n v="0"/>
    <n v="247.72"/>
  </r>
  <r>
    <n v="85"/>
    <s v="81320192595IE"/>
    <n v="11066"/>
    <s v="GR07439"/>
    <x v="0"/>
    <n v="2595"/>
    <s v="SM18 Granite Peak"/>
    <d v="2019-08-26T00:00:00"/>
    <x v="28"/>
    <n v="13"/>
    <n v="0"/>
    <n v="0"/>
    <n v="0"/>
    <n v="0"/>
    <n v="0"/>
    <n v="3"/>
    <n v="3"/>
    <x v="0"/>
    <s v="All"/>
    <n v="3"/>
    <n v="1"/>
    <n v="3"/>
    <n v="185.79"/>
    <n v="0"/>
    <n v="185.79"/>
  </r>
  <r>
    <n v="86"/>
    <s v="82020192595IE"/>
    <n v="11066"/>
    <s v="GR07439"/>
    <x v="0"/>
    <n v="2595"/>
    <s v="SM18 Granite Peak"/>
    <d v="2019-08-26T00:00:00"/>
    <x v="32"/>
    <n v="20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87"/>
    <s v="82120192595IE"/>
    <n v="11066"/>
    <s v="GR07439"/>
    <x v="0"/>
    <n v="2595"/>
    <s v="SM18 Granite Peak"/>
    <d v="2019-08-26T00:00:00"/>
    <x v="33"/>
    <n v="21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88"/>
    <s v="82220192595IE"/>
    <n v="11066"/>
    <s v="GR07439"/>
    <x v="0"/>
    <n v="2595"/>
    <s v="SM18 Granite Peak"/>
    <d v="2019-08-26T00:00:00"/>
    <x v="34"/>
    <n v="22"/>
    <n v="0"/>
    <n v="0"/>
    <n v="0"/>
    <n v="0"/>
    <n v="0"/>
    <n v="4"/>
    <n v="4"/>
    <x v="0"/>
    <s v="All"/>
    <n v="4"/>
    <n v="1"/>
    <n v="4"/>
    <n v="247.72"/>
    <n v="0"/>
    <n v="247.72"/>
  </r>
  <r>
    <n v="89"/>
    <s v="82320192595IE"/>
    <n v="11066"/>
    <s v="GR07439"/>
    <x v="0"/>
    <n v="2595"/>
    <s v="SM18 Granite Peak"/>
    <d v="2019-08-26T00:00:00"/>
    <x v="35"/>
    <n v="23"/>
    <n v="0"/>
    <n v="0"/>
    <n v="0"/>
    <n v="0"/>
    <n v="0"/>
    <n v="5.5"/>
    <n v="5.5"/>
    <x v="0"/>
    <s v="All"/>
    <n v="5.5"/>
    <n v="1"/>
    <n v="5.5"/>
    <n v="340.61500000000001"/>
    <n v="0"/>
    <n v="340.61500000000001"/>
  </r>
  <r>
    <n v="90"/>
    <s v="81520192601IE"/>
    <n v="11066"/>
    <s v="GR07441"/>
    <x v="0"/>
    <n v="2601"/>
    <s v="SM18 Gordon Creek GIS Migration"/>
    <d v="2019-08-26T00:00:00"/>
    <x v="30"/>
    <n v="15"/>
    <n v="0"/>
    <n v="0"/>
    <n v="0"/>
    <n v="0"/>
    <n v="0"/>
    <n v="1.5"/>
    <n v="1.5"/>
    <x v="0"/>
    <s v="All"/>
    <n v="1.5"/>
    <n v="1"/>
    <n v="1.5"/>
    <n v="92.894999999999996"/>
    <n v="0"/>
    <n v="92.894999999999996"/>
  </r>
  <r>
    <n v="91"/>
    <s v="82120192601IE"/>
    <n v="11066"/>
    <s v="GR07441"/>
    <x v="0"/>
    <n v="2601"/>
    <s v="SM18 Gordon Creek GIS Migration"/>
    <d v="2019-08-26T00:00:00"/>
    <x v="33"/>
    <n v="21"/>
    <n v="0"/>
    <n v="0"/>
    <n v="0"/>
    <n v="0"/>
    <n v="0"/>
    <n v="3"/>
    <n v="3"/>
    <x v="0"/>
    <s v="All"/>
    <n v="3"/>
    <n v="1"/>
    <n v="3"/>
    <n v="185.79"/>
    <n v="0"/>
    <n v="185.79"/>
  </r>
  <r>
    <n v="92"/>
    <s v="82020192606IE"/>
    <n v="11066"/>
    <s v="GR07440"/>
    <x v="0"/>
    <n v="2606"/>
    <s v="SM18 Independence Valley"/>
    <d v="2019-08-26T00:00:00"/>
    <x v="32"/>
    <n v="20"/>
    <n v="0"/>
    <n v="0"/>
    <n v="0"/>
    <n v="0"/>
    <n v="0"/>
    <n v="2"/>
    <n v="2"/>
    <x v="0"/>
    <s v="All"/>
    <n v="2"/>
    <n v="1"/>
    <n v="2"/>
    <n v="123.86"/>
    <n v="0"/>
    <n v="123.86"/>
  </r>
  <r>
    <n v="93"/>
    <s v="82120192606IE"/>
    <n v="11066"/>
    <s v="GR07440"/>
    <x v="0"/>
    <n v="2606"/>
    <s v="SM18 Independence Valley"/>
    <d v="2019-08-26T00:00:00"/>
    <x v="33"/>
    <n v="21"/>
    <n v="0"/>
    <n v="0"/>
    <n v="0"/>
    <n v="0"/>
    <n v="0"/>
    <n v="1"/>
    <n v="1"/>
    <x v="0"/>
    <s v="All"/>
    <n v="1"/>
    <n v="1"/>
    <n v="1"/>
    <n v="61.93"/>
    <n v="0"/>
    <n v="61.93"/>
  </r>
  <r>
    <n v="94"/>
    <s v="82220192606IE"/>
    <n v="11066"/>
    <s v="GR07440"/>
    <x v="0"/>
    <n v="2606"/>
    <s v="SM18 Independence Valley"/>
    <d v="2019-08-26T00:00:00"/>
    <x v="34"/>
    <n v="22"/>
    <n v="0"/>
    <n v="0"/>
    <n v="0"/>
    <n v="0"/>
    <n v="0"/>
    <n v="6"/>
    <n v="6"/>
    <x v="0"/>
    <s v="All"/>
    <n v="6"/>
    <n v="1"/>
    <n v="6"/>
    <n v="371.58"/>
    <n v="0"/>
    <n v="371.58"/>
  </r>
  <r>
    <n v="95"/>
    <s v="81520192638JPH"/>
    <n v="11093"/>
    <s v="PG06767"/>
    <x v="1"/>
    <n v="2638"/>
    <s v="P&amp;M - 2nd Half 2019 (FY20)"/>
    <d v="2019-08-28T00:00:00"/>
    <x v="30"/>
    <n v="15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96"/>
    <s v="81620192638JPH"/>
    <n v="11093"/>
    <s v="PG06767"/>
    <x v="1"/>
    <n v="2638"/>
    <s v="P&amp;M - 2nd Half 2019 (FY20)"/>
    <d v="2019-08-28T00:00:00"/>
    <x v="36"/>
    <n v="16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97"/>
    <s v="82120192638JPH"/>
    <n v="11093"/>
    <s v="PG06767"/>
    <x v="1"/>
    <n v="2638"/>
    <s v="P&amp;M - 2nd Half 2019 (FY20)"/>
    <d v="2019-08-28T00:00:00"/>
    <x v="33"/>
    <n v="21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98"/>
    <s v="82220192638JPH"/>
    <n v="11093"/>
    <s v="PG06767"/>
    <x v="1"/>
    <n v="2638"/>
    <s v="P&amp;M - 2nd Half 2019 (FY20)"/>
    <d v="2019-08-28T00:00:00"/>
    <x v="34"/>
    <n v="22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99"/>
    <s v="82320192638JPH"/>
    <n v="11093"/>
    <s v="PG06767"/>
    <x v="1"/>
    <n v="2638"/>
    <s v="P&amp;M - 2nd Half 2019 (FY20)"/>
    <d v="2019-08-28T00:00:00"/>
    <x v="35"/>
    <n v="23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100"/>
    <s v="82620192638JPH"/>
    <n v="11093"/>
    <s v="PG06767"/>
    <x v="1"/>
    <n v="2638"/>
    <s v="P&amp;M - 2nd Half 2019 (FY20)"/>
    <d v="2019-08-28T00:00:00"/>
    <x v="37"/>
    <n v="26"/>
    <n v="0"/>
    <n v="4.25"/>
    <n v="0"/>
    <n v="0"/>
    <n v="0"/>
    <n v="0"/>
    <n v="4.25"/>
    <x v="1"/>
    <s v="All"/>
    <n v="4.25"/>
    <n v="0.53"/>
    <n v="2.2524999999999999"/>
    <n v="263.20249999999999"/>
    <n v="0"/>
    <n v="263.20249999999999"/>
  </r>
  <r>
    <n v="101"/>
    <s v="8720192636JM"/>
    <n v="11097"/>
    <s v="GR07629"/>
    <x v="0"/>
    <n v="2636"/>
    <s v="2019 Preservation Grant"/>
    <d v="2019-08-28T00:00:00"/>
    <x v="25"/>
    <n v="7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02"/>
    <s v="8820192636JM"/>
    <n v="11097"/>
    <s v="GR07629"/>
    <x v="0"/>
    <n v="2636"/>
    <s v="2019 Preservation Grant"/>
    <d v="2019-08-28T00:00:00"/>
    <x v="26"/>
    <n v="8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103"/>
    <s v="82620192636RM"/>
    <n v="11097"/>
    <s v="GR07629"/>
    <x v="0"/>
    <n v="2636"/>
    <s v="2019 Preservation Grant"/>
    <d v="2019-08-28T00:00:00"/>
    <x v="37"/>
    <n v="26"/>
    <n v="0"/>
    <n v="0"/>
    <n v="0"/>
    <n v="0"/>
    <n v="0"/>
    <n v="1"/>
    <n v="1"/>
    <x v="3"/>
    <s v="All"/>
    <n v="1"/>
    <n v="0.5"/>
    <n v="0.5"/>
    <n v="61.93"/>
    <n v="0"/>
    <n v="61.93"/>
  </r>
  <r>
    <n v="104"/>
    <s v="82720192636RM"/>
    <n v="11097"/>
    <s v="GR07629"/>
    <x v="0"/>
    <n v="2636"/>
    <s v="2019 Preservation Grant"/>
    <d v="2019-08-28T00:00:00"/>
    <x v="38"/>
    <n v="27"/>
    <n v="0"/>
    <n v="0"/>
    <n v="0"/>
    <n v="0"/>
    <n v="0"/>
    <n v="9.5"/>
    <n v="9.5"/>
    <x v="3"/>
    <s v="All"/>
    <n v="9.5"/>
    <n v="0.5"/>
    <n v="4.75"/>
    <n v="588.33500000000004"/>
    <n v="0"/>
    <n v="588.33500000000004"/>
  </r>
  <r>
    <n v="105"/>
    <s v="82720192601IE"/>
    <n v="11115"/>
    <s v="GR07441"/>
    <x v="0"/>
    <n v="2601"/>
    <s v="SM18 Gordon Creek GIS Migration"/>
    <d v="2019-08-28T00:00:00"/>
    <x v="38"/>
    <n v="27"/>
    <n v="0"/>
    <n v="0"/>
    <n v="0"/>
    <n v="0"/>
    <n v="0"/>
    <n v="0.5"/>
    <n v="0.5"/>
    <x v="0"/>
    <s v="All"/>
    <n v="0.5"/>
    <n v="1"/>
    <n v="0.5"/>
    <n v="30.965"/>
    <n v="0"/>
    <n v="30.965"/>
  </r>
  <r>
    <n v="106"/>
    <s v="82320192606JM"/>
    <n v="11115"/>
    <s v="GR07440"/>
    <x v="0"/>
    <n v="2606"/>
    <s v="SM18 Independence Valley"/>
    <d v="2019-08-28T00:00:00"/>
    <x v="35"/>
    <n v="23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07"/>
    <s v="82520192606JM"/>
    <n v="11115"/>
    <s v="GR07440"/>
    <x v="0"/>
    <n v="2606"/>
    <s v="SM18 Independence Valley"/>
    <d v="2019-08-28T00:00:00"/>
    <x v="39"/>
    <n v="25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108"/>
    <s v="82620192606IE"/>
    <n v="11115"/>
    <s v="GR07440"/>
    <x v="0"/>
    <n v="2606"/>
    <s v="SM18 Independence Valley"/>
    <d v="2019-08-28T00:00:00"/>
    <x v="37"/>
    <n v="26"/>
    <n v="0"/>
    <n v="0"/>
    <n v="0"/>
    <n v="0"/>
    <n v="0"/>
    <n v="8.5"/>
    <n v="8.5"/>
    <x v="0"/>
    <s v="All"/>
    <n v="8.5"/>
    <n v="1"/>
    <n v="8.5"/>
    <n v="526.40499999999997"/>
    <n v="0"/>
    <n v="526.40499999999997"/>
  </r>
  <r>
    <n v="109"/>
    <s v="82720192606IE"/>
    <n v="11115"/>
    <s v="GR07440"/>
    <x v="0"/>
    <n v="2606"/>
    <s v="SM18 Independence Valley"/>
    <d v="2019-08-28T00:00:00"/>
    <x v="38"/>
    <n v="27"/>
    <n v="0"/>
    <n v="0"/>
    <n v="0"/>
    <n v="0"/>
    <n v="0"/>
    <n v="3"/>
    <n v="3"/>
    <x v="0"/>
    <s v="All"/>
    <n v="3"/>
    <n v="1"/>
    <n v="3"/>
    <n v="185.79"/>
    <n v="0"/>
    <n v="185.79"/>
  </r>
  <r>
    <n v="110"/>
    <s v="82620192607IE"/>
    <n v="11115"/>
    <s v="GR07436"/>
    <x v="0"/>
    <n v="2607"/>
    <s v="SM18 Washoe City"/>
    <d v="2019-08-28T00:00:00"/>
    <x v="37"/>
    <n v="26"/>
    <n v="0"/>
    <n v="0"/>
    <n v="0"/>
    <n v="0"/>
    <n v="0"/>
    <n v="0.5"/>
    <n v="0.5"/>
    <x v="0"/>
    <s v="All"/>
    <n v="0.5"/>
    <n v="1"/>
    <n v="0.5"/>
    <n v="30.965"/>
    <n v="0"/>
    <n v="30.965"/>
  </r>
  <r>
    <n v="111"/>
    <s v="7120192636RM"/>
    <n v="11168"/>
    <s v="GR07629"/>
    <x v="0"/>
    <n v="2636"/>
    <s v="2019 Preservation Grant"/>
    <d v="2019-08-30T00:00:00"/>
    <x v="12"/>
    <n v="1"/>
    <n v="0"/>
    <n v="0"/>
    <n v="0"/>
    <n v="0"/>
    <n v="0"/>
    <n v="0.75"/>
    <n v="0.75"/>
    <x v="3"/>
    <s v="All"/>
    <n v="0.75"/>
    <n v="0.5"/>
    <n v="0.375"/>
    <n v="46.447499999999998"/>
    <n v="0"/>
    <n v="46.447499999999998"/>
  </r>
  <r>
    <n v="112"/>
    <s v="73120192636RM"/>
    <n v="11168"/>
    <s v="GR07629"/>
    <x v="0"/>
    <n v="2636"/>
    <s v="2019 Preservation Grant"/>
    <d v="2019-08-30T00:00:00"/>
    <x v="20"/>
    <n v="31"/>
    <n v="0"/>
    <n v="0"/>
    <n v="0"/>
    <n v="0"/>
    <n v="0"/>
    <n v="5.5"/>
    <n v="5.5"/>
    <x v="3"/>
    <s v="All"/>
    <n v="5.5"/>
    <n v="0.5"/>
    <n v="2.75"/>
    <n v="340.61500000000001"/>
    <n v="0"/>
    <n v="340.61500000000001"/>
  </r>
  <r>
    <n v="113"/>
    <s v="8720192636RM"/>
    <n v="11168"/>
    <s v="GR07629"/>
    <x v="0"/>
    <n v="2636"/>
    <s v="2019 Preservation Grant"/>
    <d v="2019-08-30T00:00:00"/>
    <x v="25"/>
    <n v="7"/>
    <n v="0"/>
    <n v="0"/>
    <n v="0"/>
    <n v="0"/>
    <n v="0"/>
    <n v="9"/>
    <n v="9"/>
    <x v="3"/>
    <s v="All"/>
    <n v="9"/>
    <n v="0.5"/>
    <n v="4.5"/>
    <n v="557.37"/>
    <n v="0"/>
    <n v="557.37"/>
  </r>
  <r>
    <n v="114"/>
    <s v="8820192636JM"/>
    <n v="11168"/>
    <s v="GR07629"/>
    <x v="0"/>
    <n v="2636"/>
    <s v="2019 Preservation Grant"/>
    <d v="2019-08-30T00:00:00"/>
    <x v="26"/>
    <n v="8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15"/>
    <s v="8920192636JM"/>
    <n v="11168"/>
    <s v="GR07629"/>
    <x v="0"/>
    <n v="2636"/>
    <s v="2019 Preservation Grant"/>
    <d v="2019-08-30T00:00:00"/>
    <x v="31"/>
    <n v="9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16"/>
    <s v="81320192636JM"/>
    <n v="11168"/>
    <s v="GR07629"/>
    <x v="0"/>
    <n v="2636"/>
    <s v="2019 Preservation Grant"/>
    <d v="2019-08-30T00:00:00"/>
    <x v="28"/>
    <n v="13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117"/>
    <s v="81620192636JM"/>
    <n v="11168"/>
    <s v="GR07629"/>
    <x v="0"/>
    <n v="2636"/>
    <s v="2019 Preservation Grant"/>
    <d v="2019-08-30T00:00:00"/>
    <x v="36"/>
    <n v="16"/>
    <n v="0"/>
    <n v="0"/>
    <n v="0"/>
    <n v="0"/>
    <n v="0"/>
    <n v="1"/>
    <n v="1"/>
    <x v="2"/>
    <s v="All"/>
    <n v="1"/>
    <n v="0.39500000000000002"/>
    <n v="0.39500000000000002"/>
    <n v="61.93"/>
    <n v="0"/>
    <n v="61.93"/>
  </r>
  <r>
    <n v="118"/>
    <s v="82320192636JM"/>
    <n v="11168"/>
    <s v="GR07629"/>
    <x v="0"/>
    <n v="2636"/>
    <s v="2019 Preservation Grant"/>
    <d v="2019-08-30T00:00:00"/>
    <x v="35"/>
    <n v="23"/>
    <n v="0"/>
    <n v="0"/>
    <n v="0"/>
    <n v="0"/>
    <n v="0"/>
    <n v="1"/>
    <n v="1"/>
    <x v="2"/>
    <s v="All"/>
    <n v="1"/>
    <n v="0.39500000000000002"/>
    <n v="0.39500000000000002"/>
    <n v="61.93"/>
    <n v="0"/>
    <n v="61.93"/>
  </r>
  <r>
    <n v="119"/>
    <s v="82820192636BOGD"/>
    <n v="11168"/>
    <s v="GR07629"/>
    <x v="0"/>
    <n v="2636"/>
    <s v="2019 Preservation Grant"/>
    <d v="2019-08-30T00:00:00"/>
    <x v="40"/>
    <n v="28"/>
    <n v="0"/>
    <n v="0"/>
    <n v="0"/>
    <n v="0"/>
    <n v="0"/>
    <n v="-0.15559999999999999"/>
    <n v="-0.15559999999999999"/>
    <x v="4"/>
    <s v="All"/>
    <n v="-0.15559999999999999"/>
    <n v="1"/>
    <n v="-0.15559999999999999"/>
    <n v="-9.6363079999999997"/>
    <n v="0"/>
    <n v="-9.6363079999999997"/>
  </r>
  <r>
    <n v="120"/>
    <s v="82820192636RM"/>
    <n v="11168"/>
    <s v="GR07629"/>
    <x v="0"/>
    <n v="2636"/>
    <s v="2019 Preservation Grant"/>
    <d v="2019-08-30T00:00:00"/>
    <x v="40"/>
    <n v="28"/>
    <n v="0"/>
    <n v="0"/>
    <n v="0"/>
    <n v="0"/>
    <n v="0"/>
    <n v="5"/>
    <n v="5"/>
    <x v="3"/>
    <s v="All"/>
    <n v="5"/>
    <n v="0.5"/>
    <n v="2.5"/>
    <n v="309.64999999999998"/>
    <n v="0"/>
    <n v="309.64999999999998"/>
  </r>
  <r>
    <n v="121"/>
    <s v="82920192595IE"/>
    <n v="11169"/>
    <s v="GR07439"/>
    <x v="0"/>
    <n v="2595"/>
    <s v="SM18 Granite Peak"/>
    <d v="2019-08-30T00:00:00"/>
    <x v="41"/>
    <n v="29"/>
    <n v="0"/>
    <n v="0"/>
    <n v="0"/>
    <n v="0"/>
    <n v="0"/>
    <n v="1"/>
    <n v="1"/>
    <x v="0"/>
    <s v="All"/>
    <n v="1"/>
    <n v="1"/>
    <n v="1"/>
    <n v="61.93"/>
    <n v="0"/>
    <n v="61.93"/>
  </r>
  <r>
    <n v="122"/>
    <s v="82820192606IE"/>
    <n v="11169"/>
    <s v="GR07440"/>
    <x v="0"/>
    <n v="2606"/>
    <s v="SM18 Independence Valley"/>
    <d v="2019-08-30T00:00:00"/>
    <x v="40"/>
    <n v="28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123"/>
    <s v="82920192606IE"/>
    <n v="11169"/>
    <s v="GR07440"/>
    <x v="0"/>
    <n v="2606"/>
    <s v="SM18 Independence Valley"/>
    <d v="2019-08-30T00:00:00"/>
    <x v="41"/>
    <n v="29"/>
    <n v="0"/>
    <n v="0"/>
    <n v="0"/>
    <n v="0"/>
    <n v="0"/>
    <n v="6"/>
    <n v="6"/>
    <x v="0"/>
    <s v="All"/>
    <n v="6"/>
    <n v="1"/>
    <n v="6"/>
    <n v="371.58"/>
    <n v="0"/>
    <n v="371.58"/>
  </r>
  <r>
    <n v="124"/>
    <s v="82620192590IE"/>
    <n v="11170"/>
    <s v="GR05347"/>
    <x v="0"/>
    <n v="2590"/>
    <s v="Forge Geologic Map"/>
    <d v="2019-08-30T00:00:00"/>
    <x v="37"/>
    <n v="26"/>
    <n v="0"/>
    <n v="0"/>
    <n v="0"/>
    <n v="0"/>
    <n v="0"/>
    <n v="1"/>
    <n v="1"/>
    <x v="0"/>
    <s v="All"/>
    <n v="1"/>
    <n v="1"/>
    <n v="1"/>
    <n v="61.93"/>
    <n v="0"/>
    <n v="61.93"/>
  </r>
  <r>
    <n v="125"/>
    <s v="82620192590RM"/>
    <n v="11170"/>
    <s v="GR05347"/>
    <x v="0"/>
    <n v="2590"/>
    <s v="Forge Geologic Map"/>
    <d v="2019-08-30T00:00:00"/>
    <x v="37"/>
    <n v="26"/>
    <n v="0"/>
    <n v="0"/>
    <n v="0"/>
    <n v="0"/>
    <n v="0"/>
    <n v="0.25"/>
    <n v="0.25"/>
    <x v="3"/>
    <s v="All"/>
    <n v="0.25"/>
    <n v="0.5"/>
    <n v="0.125"/>
    <n v="15.4825"/>
    <n v="0"/>
    <n v="15.4825"/>
  </r>
  <r>
    <n v="126"/>
    <s v="82720192590IE"/>
    <n v="11170"/>
    <s v="GR05347"/>
    <x v="0"/>
    <n v="2590"/>
    <s v="Forge Geologic Map"/>
    <d v="2019-08-30T00:00:00"/>
    <x v="38"/>
    <n v="27"/>
    <n v="0"/>
    <n v="0"/>
    <n v="0"/>
    <n v="0"/>
    <n v="0"/>
    <n v="6.25"/>
    <n v="6.25"/>
    <x v="0"/>
    <s v="All"/>
    <n v="6.25"/>
    <n v="1"/>
    <n v="6.25"/>
    <n v="387.0625"/>
    <n v="0"/>
    <n v="387.0625"/>
  </r>
  <r>
    <n v="127"/>
    <s v="82820192590IE"/>
    <n v="11170"/>
    <s v="GR05347"/>
    <x v="0"/>
    <n v="2590"/>
    <s v="Forge Geologic Map"/>
    <d v="2019-08-30T00:00:00"/>
    <x v="40"/>
    <n v="28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128"/>
    <s v="82920192590IE"/>
    <n v="11170"/>
    <s v="GR05347"/>
    <x v="0"/>
    <n v="2590"/>
    <s v="Forge Geologic Map"/>
    <d v="2019-08-30T00:00:00"/>
    <x v="41"/>
    <n v="29"/>
    <n v="0"/>
    <n v="0"/>
    <n v="0"/>
    <n v="0"/>
    <n v="0"/>
    <n v="3"/>
    <n v="3"/>
    <x v="0"/>
    <s v="All"/>
    <n v="3"/>
    <n v="1"/>
    <n v="3"/>
    <n v="185.79"/>
    <n v="0"/>
    <n v="185.79"/>
  </r>
  <r>
    <n v="129"/>
    <s v="81320192652JM"/>
    <n v="11171"/>
    <s v="GR09297"/>
    <x v="0"/>
    <n v="2652"/>
    <s v="Major Mines 2018"/>
    <d v="2019-08-30T00:00:00"/>
    <x v="28"/>
    <n v="13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30"/>
    <s v="81320192652JPH"/>
    <n v="11171"/>
    <s v="GR09297"/>
    <x v="0"/>
    <n v="2652"/>
    <s v="Major Mines 2018"/>
    <d v="2019-08-30T00:00:00"/>
    <x v="28"/>
    <n v="13"/>
    <n v="0"/>
    <n v="0"/>
    <n v="0"/>
    <n v="0"/>
    <n v="0"/>
    <n v="2.75"/>
    <n v="2.75"/>
    <x v="1"/>
    <s v="All"/>
    <n v="2.75"/>
    <n v="0.53"/>
    <n v="1.4575"/>
    <n v="170.3075"/>
    <n v="0"/>
    <n v="170.3075"/>
  </r>
  <r>
    <n v="131"/>
    <s v="81420192652JPH"/>
    <n v="11171"/>
    <s v="GR09297"/>
    <x v="0"/>
    <n v="2652"/>
    <s v="Major Mines 2018"/>
    <d v="2019-08-30T00:00:00"/>
    <x v="29"/>
    <n v="14"/>
    <n v="0"/>
    <n v="0"/>
    <n v="0"/>
    <n v="0"/>
    <n v="0"/>
    <n v="4.25"/>
    <n v="4.25"/>
    <x v="1"/>
    <s v="All"/>
    <n v="4.25"/>
    <n v="0.53"/>
    <n v="2.2524999999999999"/>
    <n v="263.20249999999999"/>
    <n v="0"/>
    <n v="263.20249999999999"/>
  </r>
  <r>
    <n v="132"/>
    <s v="82020192652JPH"/>
    <n v="11171"/>
    <s v="GR09297"/>
    <x v="0"/>
    <n v="2652"/>
    <s v="Major Mines 2018"/>
    <d v="2019-08-30T00:00:00"/>
    <x v="32"/>
    <n v="20"/>
    <n v="0"/>
    <n v="0"/>
    <n v="0"/>
    <n v="0"/>
    <n v="0"/>
    <n v="3"/>
    <n v="3"/>
    <x v="1"/>
    <s v="All"/>
    <n v="3"/>
    <n v="0.53"/>
    <n v="1.59"/>
    <n v="185.79"/>
    <n v="0"/>
    <n v="185.79"/>
  </r>
  <r>
    <n v="133"/>
    <s v="71120192649IE"/>
    <n v="11172"/>
    <s v="PG03968"/>
    <x v="1"/>
    <n v="2649"/>
    <s v="UNCE Programs Map"/>
    <d v="2019-08-30T00:00:00"/>
    <x v="2"/>
    <n v="11"/>
    <n v="0"/>
    <n v="0"/>
    <n v="0"/>
    <n v="0"/>
    <n v="0"/>
    <n v="5"/>
    <n v="5"/>
    <x v="0"/>
    <s v="All"/>
    <n v="5"/>
    <n v="1"/>
    <n v="5"/>
    <n v="309.64999999999998"/>
    <n v="0"/>
    <n v="309.64999999999998"/>
  </r>
  <r>
    <n v="134"/>
    <s v="71220192649IE"/>
    <n v="11172"/>
    <s v="PG03968"/>
    <x v="1"/>
    <n v="2649"/>
    <s v="UNCE Programs Map"/>
    <d v="2019-08-30T00:00:00"/>
    <x v="3"/>
    <n v="12"/>
    <n v="0"/>
    <n v="0"/>
    <n v="0"/>
    <n v="0"/>
    <n v="0"/>
    <n v="6"/>
    <n v="6"/>
    <x v="0"/>
    <s v="All"/>
    <n v="6"/>
    <n v="1"/>
    <n v="6"/>
    <n v="371.58"/>
    <n v="0"/>
    <n v="371.58"/>
  </r>
  <r>
    <n v="135"/>
    <s v="71220192649JM"/>
    <n v="11172"/>
    <s v="PG03968"/>
    <x v="1"/>
    <n v="2649"/>
    <s v="UNCE Programs Map"/>
    <d v="2019-08-30T00:00:00"/>
    <x v="3"/>
    <n v="12"/>
    <n v="0"/>
    <n v="0"/>
    <n v="0"/>
    <n v="0"/>
    <n v="0"/>
    <n v="0.5"/>
    <n v="0.5"/>
    <x v="2"/>
    <s v="All"/>
    <n v="0.5"/>
    <n v="0.39500000000000002"/>
    <n v="0.19750000000000001"/>
    <n v="30.965"/>
    <n v="0"/>
    <n v="30.965"/>
  </r>
  <r>
    <n v="136"/>
    <s v="71520192649IE"/>
    <n v="11172"/>
    <s v="PG03968"/>
    <x v="1"/>
    <n v="2649"/>
    <s v="UNCE Programs Map"/>
    <d v="2019-08-30T00:00:00"/>
    <x v="4"/>
    <n v="15"/>
    <n v="0"/>
    <n v="0"/>
    <n v="0"/>
    <n v="0"/>
    <n v="0"/>
    <n v="3"/>
    <n v="3"/>
    <x v="0"/>
    <s v="All"/>
    <n v="3"/>
    <n v="1"/>
    <n v="3"/>
    <n v="185.79"/>
    <n v="0"/>
    <n v="185.79"/>
  </r>
  <r>
    <n v="137"/>
    <s v="71620192649IE"/>
    <n v="11172"/>
    <s v="PG03968"/>
    <x v="1"/>
    <n v="2649"/>
    <s v="UNCE Programs Map"/>
    <d v="2019-08-30T00:00:00"/>
    <x v="5"/>
    <n v="16"/>
    <n v="0"/>
    <n v="0"/>
    <n v="0"/>
    <n v="0"/>
    <n v="0"/>
    <n v="1.5"/>
    <n v="1.5"/>
    <x v="0"/>
    <s v="All"/>
    <n v="1.5"/>
    <n v="1"/>
    <n v="1.5"/>
    <n v="92.894999999999996"/>
    <n v="0"/>
    <n v="92.894999999999996"/>
  </r>
  <r>
    <n v="138"/>
    <s v="71620192649JM"/>
    <n v="11172"/>
    <s v="PG03968"/>
    <x v="1"/>
    <n v="2649"/>
    <s v="UNCE Programs Map"/>
    <d v="2019-08-30T00:00:00"/>
    <x v="5"/>
    <n v="16"/>
    <n v="0"/>
    <n v="0"/>
    <n v="0"/>
    <n v="0"/>
    <n v="0"/>
    <n v="1.25"/>
    <n v="1.25"/>
    <x v="2"/>
    <s v="All"/>
    <n v="1.25"/>
    <n v="0.39500000000000002"/>
    <n v="0.49375000000000002"/>
    <n v="77.412499999999994"/>
    <n v="0"/>
    <n v="77.412499999999994"/>
  </r>
  <r>
    <n v="139"/>
    <s v="71720192649IE"/>
    <n v="11172"/>
    <s v="PG03968"/>
    <x v="1"/>
    <n v="2649"/>
    <s v="UNCE Programs Map"/>
    <d v="2019-08-30T00:00:00"/>
    <x v="6"/>
    <n v="17"/>
    <n v="0"/>
    <n v="0"/>
    <n v="0"/>
    <n v="0"/>
    <n v="0"/>
    <n v="0.5"/>
    <n v="0.5"/>
    <x v="0"/>
    <s v="All"/>
    <n v="0.5"/>
    <n v="1"/>
    <n v="0.5"/>
    <n v="30.965"/>
    <n v="0"/>
    <n v="30.965"/>
  </r>
  <r>
    <n v="140"/>
    <s v="71820192649IE"/>
    <n v="11172"/>
    <s v="PG03968"/>
    <x v="1"/>
    <n v="2649"/>
    <s v="UNCE Programs Map"/>
    <d v="2019-08-30T00:00:00"/>
    <x v="7"/>
    <n v="18"/>
    <n v="0"/>
    <n v="0"/>
    <n v="0"/>
    <n v="0"/>
    <n v="0"/>
    <n v="1.5"/>
    <n v="1.5"/>
    <x v="0"/>
    <s v="All"/>
    <n v="1.5"/>
    <n v="1"/>
    <n v="1.5"/>
    <n v="92.894999999999996"/>
    <n v="0"/>
    <n v="92.894999999999996"/>
  </r>
  <r>
    <n v="141"/>
    <s v="72220192649IE"/>
    <n v="11172"/>
    <s v="PG03968"/>
    <x v="1"/>
    <n v="2649"/>
    <s v="UNCE Programs Map"/>
    <d v="2019-08-30T00:00:00"/>
    <x v="8"/>
    <n v="22"/>
    <n v="0"/>
    <n v="0"/>
    <n v="0"/>
    <n v="0"/>
    <n v="0"/>
    <n v="0.5"/>
    <n v="0.5"/>
    <x v="0"/>
    <s v="All"/>
    <n v="0.5"/>
    <n v="1"/>
    <n v="0.5"/>
    <n v="30.965"/>
    <n v="0"/>
    <n v="30.965"/>
  </r>
  <r>
    <n v="142"/>
    <s v="81520192649JM"/>
    <n v="11172"/>
    <s v="PG03968"/>
    <x v="1"/>
    <n v="2649"/>
    <s v="UNCE Programs Map"/>
    <d v="2019-08-30T00:00:00"/>
    <x v="30"/>
    <n v="15"/>
    <n v="0"/>
    <n v="0"/>
    <n v="0"/>
    <n v="0"/>
    <n v="0"/>
    <n v="0.25"/>
    <n v="0.25"/>
    <x v="2"/>
    <s v="All"/>
    <n v="0.25"/>
    <n v="0.39500000000000002"/>
    <n v="9.8750000000000004E-2"/>
    <n v="15.4825"/>
    <n v="0"/>
    <n v="15.4825"/>
  </r>
  <r>
    <n v="143"/>
    <s v="7120192642IE"/>
    <s v="Admin"/>
    <s v="NA"/>
    <x v="2"/>
    <n v="2642"/>
    <s v="Annual Time FY20"/>
    <s v="NA"/>
    <x v="12"/>
    <n v="1"/>
    <n v="0"/>
    <n v="0"/>
    <n v="0"/>
    <n v="0"/>
    <n v="0"/>
    <n v="10"/>
    <n v="10"/>
    <x v="0"/>
    <s v="All"/>
    <n v="0"/>
    <n v="1"/>
    <n v="10"/>
    <n v="619.29999999999995"/>
    <n v="0"/>
    <n v="0"/>
  </r>
  <r>
    <n v="144"/>
    <s v="7220192642IE"/>
    <s v="Admin"/>
    <s v="NA"/>
    <x v="2"/>
    <n v="2642"/>
    <s v="Annual Time FY20"/>
    <s v="NA"/>
    <x v="13"/>
    <n v="2"/>
    <n v="0"/>
    <n v="0"/>
    <n v="0"/>
    <n v="0"/>
    <n v="0"/>
    <n v="10"/>
    <n v="10"/>
    <x v="0"/>
    <s v="All"/>
    <n v="0"/>
    <n v="1"/>
    <n v="10"/>
    <n v="619.29999999999995"/>
    <n v="0"/>
    <n v="0"/>
  </r>
  <r>
    <n v="145"/>
    <s v="7320192642IE"/>
    <s v="Admin"/>
    <s v="NA"/>
    <x v="2"/>
    <n v="2642"/>
    <s v="Annual Time FY20"/>
    <s v="NA"/>
    <x v="14"/>
    <n v="3"/>
    <n v="0"/>
    <n v="0"/>
    <n v="0"/>
    <n v="0"/>
    <n v="0"/>
    <n v="10"/>
    <n v="10"/>
    <x v="0"/>
    <s v="All"/>
    <n v="0"/>
    <n v="1"/>
    <n v="10"/>
    <n v="619.29999999999995"/>
    <n v="0"/>
    <n v="0"/>
  </r>
  <r>
    <n v="146"/>
    <s v="7420192642IE"/>
    <s v="Admin"/>
    <s v="NA"/>
    <x v="2"/>
    <n v="2642"/>
    <s v="Annual Time FY20"/>
    <s v="NA"/>
    <x v="42"/>
    <n v="4"/>
    <n v="0"/>
    <n v="0"/>
    <n v="0"/>
    <n v="0"/>
    <n v="0"/>
    <n v="2"/>
    <n v="2"/>
    <x v="0"/>
    <s v="All"/>
    <n v="0"/>
    <n v="1"/>
    <n v="2"/>
    <n v="123.86"/>
    <n v="0"/>
    <n v="0"/>
  </r>
  <r>
    <n v="147"/>
    <s v="7520192642JPH"/>
    <s v="Admin"/>
    <s v="NA"/>
    <x v="2"/>
    <n v="2642"/>
    <s v="Annual Time FY20"/>
    <s v="NA"/>
    <x v="43"/>
    <n v="5"/>
    <n v="0"/>
    <n v="0"/>
    <n v="0"/>
    <n v="0"/>
    <n v="0"/>
    <n v="4.25"/>
    <n v="4.25"/>
    <x v="1"/>
    <s v="All"/>
    <n v="0"/>
    <n v="0.53"/>
    <n v="2.2524999999999999"/>
    <n v="139.49732499999999"/>
    <n v="0"/>
    <n v="0"/>
  </r>
  <r>
    <n v="148"/>
    <s v="71920192642JPH"/>
    <s v="Admin"/>
    <s v="NA"/>
    <x v="2"/>
    <n v="2642"/>
    <s v="Annual Time FY20"/>
    <s v="NA"/>
    <x v="16"/>
    <n v="19"/>
    <n v="0"/>
    <n v="0"/>
    <n v="0"/>
    <n v="0"/>
    <n v="0"/>
    <n v="4.25"/>
    <n v="4.25"/>
    <x v="1"/>
    <s v="All"/>
    <n v="0"/>
    <n v="0.53"/>
    <n v="2.2524999999999999"/>
    <n v="139.49732499999999"/>
    <n v="0"/>
    <n v="0"/>
  </r>
  <r>
    <n v="149"/>
    <s v="72620192642JM"/>
    <s v="Admin"/>
    <s v="NA"/>
    <x v="2"/>
    <n v="2642"/>
    <s v="Annual Time FY20"/>
    <s v="NA"/>
    <x v="17"/>
    <n v="26"/>
    <n v="0"/>
    <n v="0"/>
    <n v="0"/>
    <n v="0"/>
    <n v="0"/>
    <n v="10"/>
    <n v="10"/>
    <x v="2"/>
    <s v="All"/>
    <n v="0"/>
    <n v="0.39500000000000002"/>
    <n v="3.95"/>
    <n v="244.62350000000001"/>
    <n v="0"/>
    <n v="0"/>
  </r>
  <r>
    <n v="150"/>
    <s v="72920192642IE"/>
    <s v="Admin"/>
    <s v="NA"/>
    <x v="2"/>
    <n v="2642"/>
    <s v="Annual Time FY20"/>
    <s v="NA"/>
    <x v="18"/>
    <n v="29"/>
    <n v="0"/>
    <n v="0"/>
    <n v="0"/>
    <n v="0"/>
    <n v="0"/>
    <n v="10"/>
    <n v="10"/>
    <x v="0"/>
    <s v="All"/>
    <n v="0"/>
    <n v="1"/>
    <n v="10"/>
    <n v="619.29999999999995"/>
    <n v="0"/>
    <n v="0"/>
  </r>
  <r>
    <n v="151"/>
    <s v="73020192642IE"/>
    <s v="Admin"/>
    <s v="NA"/>
    <x v="2"/>
    <n v="2642"/>
    <s v="Annual Time FY20"/>
    <s v="NA"/>
    <x v="19"/>
    <n v="30"/>
    <n v="0"/>
    <n v="0"/>
    <n v="0"/>
    <n v="0"/>
    <n v="0"/>
    <n v="10"/>
    <n v="10"/>
    <x v="0"/>
    <s v="All"/>
    <n v="0"/>
    <n v="1"/>
    <n v="10"/>
    <n v="619.29999999999995"/>
    <n v="0"/>
    <n v="0"/>
  </r>
  <r>
    <n v="152"/>
    <s v="73120192642IE"/>
    <s v="Admin"/>
    <s v="NA"/>
    <x v="2"/>
    <n v="2642"/>
    <s v="Annual Time FY20"/>
    <s v="NA"/>
    <x v="20"/>
    <n v="31"/>
    <n v="0"/>
    <n v="0"/>
    <n v="0"/>
    <n v="0"/>
    <n v="0"/>
    <n v="10"/>
    <n v="10"/>
    <x v="0"/>
    <s v="All"/>
    <n v="0"/>
    <n v="1"/>
    <n v="10"/>
    <n v="619.29999999999995"/>
    <n v="0"/>
    <n v="0"/>
  </r>
  <r>
    <n v="153"/>
    <s v="8120192642IE"/>
    <s v="Admin"/>
    <s v="NA"/>
    <x v="2"/>
    <n v="2642"/>
    <s v="Annual Time FY20"/>
    <s v="NA"/>
    <x v="21"/>
    <n v="1"/>
    <n v="0"/>
    <n v="0"/>
    <n v="0"/>
    <n v="0"/>
    <n v="0"/>
    <n v="10"/>
    <n v="10"/>
    <x v="0"/>
    <s v="All"/>
    <n v="0"/>
    <n v="1"/>
    <n v="10"/>
    <n v="619.29999999999995"/>
    <n v="0"/>
    <n v="0"/>
  </r>
  <r>
    <n v="154"/>
    <s v="81220192642RM"/>
    <s v="Admin"/>
    <s v="NA"/>
    <x v="2"/>
    <n v="2642"/>
    <s v="Annual Time FY20"/>
    <s v="NA"/>
    <x v="27"/>
    <n v="12"/>
    <n v="0"/>
    <n v="0"/>
    <n v="0"/>
    <n v="0"/>
    <n v="0"/>
    <n v="10"/>
    <n v="10"/>
    <x v="3"/>
    <s v="All"/>
    <n v="0"/>
    <n v="0.5"/>
    <n v="5"/>
    <n v="309.64999999999998"/>
    <n v="0"/>
    <n v="0"/>
  </r>
  <r>
    <n v="155"/>
    <s v="81320192642RM"/>
    <s v="Admin"/>
    <s v="NA"/>
    <x v="2"/>
    <n v="2642"/>
    <s v="Annual Time FY20"/>
    <s v="NA"/>
    <x v="28"/>
    <n v="13"/>
    <n v="0"/>
    <n v="0"/>
    <n v="0"/>
    <n v="0"/>
    <n v="0"/>
    <n v="10"/>
    <n v="10"/>
    <x v="3"/>
    <s v="All"/>
    <n v="0"/>
    <n v="0.5"/>
    <n v="5"/>
    <n v="309.64999999999998"/>
    <n v="0"/>
    <n v="0"/>
  </r>
  <r>
    <n v="156"/>
    <s v="81420192642RM"/>
    <s v="Admin"/>
    <s v="NA"/>
    <x v="2"/>
    <n v="2642"/>
    <s v="Annual Time FY20"/>
    <s v="NA"/>
    <x v="29"/>
    <n v="14"/>
    <n v="0"/>
    <n v="0"/>
    <n v="0"/>
    <n v="0"/>
    <n v="0"/>
    <n v="10"/>
    <n v="10"/>
    <x v="3"/>
    <s v="All"/>
    <n v="0"/>
    <n v="0.5"/>
    <n v="5"/>
    <n v="309.64999999999998"/>
    <n v="0"/>
    <n v="0"/>
  </r>
  <r>
    <n v="157"/>
    <s v="7520192643JM"/>
    <s v="Admin"/>
    <s v="NA"/>
    <x v="3"/>
    <n v="2643"/>
    <s v="Comp Time FY20"/>
    <s v="NA"/>
    <x v="43"/>
    <n v="5"/>
    <n v="0"/>
    <n v="0"/>
    <n v="0"/>
    <n v="0"/>
    <n v="0"/>
    <n v="10"/>
    <n v="10"/>
    <x v="2"/>
    <s v="All"/>
    <n v="0"/>
    <n v="0.39500000000000002"/>
    <n v="3.95"/>
    <n v="244.62350000000001"/>
    <n v="0"/>
    <n v="0"/>
  </r>
  <r>
    <n v="158"/>
    <s v="71920192643JM"/>
    <s v="Admin"/>
    <s v="NA"/>
    <x v="3"/>
    <n v="2643"/>
    <s v="Comp Time FY20"/>
    <s v="NA"/>
    <x v="16"/>
    <n v="19"/>
    <n v="0"/>
    <n v="0"/>
    <n v="0"/>
    <n v="0"/>
    <n v="0"/>
    <n v="2.75"/>
    <n v="2.75"/>
    <x v="2"/>
    <s v="All"/>
    <n v="0"/>
    <n v="0.39500000000000002"/>
    <n v="1.0862500000000002"/>
    <n v="67.271462500000013"/>
    <n v="0"/>
    <n v="0"/>
  </r>
  <r>
    <n v="159"/>
    <s v="7420192644IE"/>
    <s v="Admin"/>
    <s v="NA"/>
    <x v="4"/>
    <n v="2644"/>
    <s v="Holiday Time FY20"/>
    <s v="NA"/>
    <x v="42"/>
    <n v="4"/>
    <n v="0"/>
    <n v="0"/>
    <n v="0"/>
    <n v="0"/>
    <n v="0"/>
    <n v="8"/>
    <n v="8"/>
    <x v="0"/>
    <s v="All"/>
    <n v="0"/>
    <n v="1"/>
    <n v="8"/>
    <n v="495.44"/>
    <n v="0"/>
    <n v="0"/>
  </r>
  <r>
    <n v="160"/>
    <s v="7420192644JM"/>
    <s v="Admin"/>
    <s v="NA"/>
    <x v="4"/>
    <n v="2644"/>
    <s v="Holiday Time FY20"/>
    <s v="NA"/>
    <x v="42"/>
    <n v="4"/>
    <n v="0"/>
    <n v="0"/>
    <n v="0"/>
    <n v="0"/>
    <n v="0"/>
    <n v="8"/>
    <n v="8"/>
    <x v="2"/>
    <s v="All"/>
    <n v="0"/>
    <n v="0.39500000000000002"/>
    <n v="3.16"/>
    <n v="195.69880000000001"/>
    <n v="0"/>
    <n v="0"/>
  </r>
  <r>
    <n v="161"/>
    <s v="7420192644JPH"/>
    <s v="Admin"/>
    <s v="NA"/>
    <x v="4"/>
    <n v="2644"/>
    <s v="Holiday Time FY20"/>
    <s v="NA"/>
    <x v="42"/>
    <n v="4"/>
    <n v="0"/>
    <n v="0"/>
    <n v="0"/>
    <n v="0"/>
    <n v="0"/>
    <n v="4.25"/>
    <n v="4.25"/>
    <x v="1"/>
    <s v="All"/>
    <n v="0"/>
    <n v="0.53"/>
    <n v="2.2524999999999999"/>
    <n v="139.49732499999999"/>
    <n v="0"/>
    <n v="0"/>
  </r>
  <r>
    <n v="162"/>
    <s v="7420192644RM"/>
    <s v="Admin"/>
    <s v="NA"/>
    <x v="4"/>
    <n v="2644"/>
    <s v="Holiday Time FY20"/>
    <s v="NA"/>
    <x v="42"/>
    <n v="4"/>
    <n v="0"/>
    <n v="0"/>
    <n v="0"/>
    <n v="0"/>
    <n v="0"/>
    <n v="8"/>
    <n v="8"/>
    <x v="3"/>
    <s v="All"/>
    <n v="0"/>
    <n v="0.5"/>
    <n v="4"/>
    <n v="247.72"/>
    <n v="0"/>
    <n v="0"/>
  </r>
  <r>
    <n v="163"/>
    <s v="71020192646IE"/>
    <s v="Admin"/>
    <s v="NA"/>
    <x v="5"/>
    <n v="2646"/>
    <s v="Sick Time FY20"/>
    <s v="NA"/>
    <x v="1"/>
    <n v="10"/>
    <n v="0"/>
    <n v="0"/>
    <n v="0"/>
    <n v="0"/>
    <n v="0"/>
    <n v="0.75"/>
    <n v="0.75"/>
    <x v="0"/>
    <s v="All"/>
    <n v="0"/>
    <n v="1"/>
    <n v="0.75"/>
    <n v="46.447499999999998"/>
    <n v="0"/>
    <n v="0"/>
  </r>
  <r>
    <n v="164"/>
    <s v="71520192646RM"/>
    <s v="Admin"/>
    <s v="NA"/>
    <x v="5"/>
    <n v="2646"/>
    <s v="Sick Time FY20"/>
    <s v="NA"/>
    <x v="4"/>
    <n v="15"/>
    <n v="0"/>
    <n v="0"/>
    <n v="0"/>
    <n v="0"/>
    <n v="0"/>
    <n v="5"/>
    <n v="5"/>
    <x v="3"/>
    <s v="All"/>
    <n v="0"/>
    <n v="0.5"/>
    <n v="2.5"/>
    <n v="154.82499999999999"/>
    <n v="0"/>
    <n v="0"/>
  </r>
  <r>
    <n v="165"/>
    <s v="72320192646RM"/>
    <s v="Admin"/>
    <s v="NA"/>
    <x v="5"/>
    <n v="2646"/>
    <s v="Sick Time FY20"/>
    <s v="NA"/>
    <x v="9"/>
    <n v="23"/>
    <n v="0"/>
    <n v="0"/>
    <n v="0"/>
    <n v="0"/>
    <n v="0"/>
    <n v="4"/>
    <n v="4"/>
    <x v="3"/>
    <s v="All"/>
    <n v="0"/>
    <n v="0.5"/>
    <n v="2"/>
    <n v="123.86"/>
    <n v="0"/>
    <n v="0"/>
  </r>
  <r>
    <n v="166"/>
    <s v="72420192646RM"/>
    <s v="Admin"/>
    <s v="NA"/>
    <x v="5"/>
    <n v="2646"/>
    <s v="Sick Time FY20"/>
    <s v="NA"/>
    <x v="10"/>
    <n v="24"/>
    <n v="0"/>
    <n v="0"/>
    <n v="0"/>
    <n v="0"/>
    <n v="0"/>
    <n v="4"/>
    <n v="4"/>
    <x v="3"/>
    <s v="All"/>
    <n v="0"/>
    <n v="0.5"/>
    <n v="2"/>
    <n v="123.86"/>
    <n v="0"/>
    <n v="0"/>
  </r>
  <r>
    <n v="167"/>
    <s v="8720192646IE"/>
    <s v="Admin"/>
    <s v="NA"/>
    <x v="5"/>
    <n v="2646"/>
    <s v="Sick Time FY20"/>
    <s v="NA"/>
    <x v="25"/>
    <n v="7"/>
    <n v="0"/>
    <n v="0"/>
    <n v="0"/>
    <n v="0"/>
    <n v="0"/>
    <n v="1.75"/>
    <n v="1.75"/>
    <x v="0"/>
    <s v="All"/>
    <n v="0"/>
    <n v="1"/>
    <n v="1.75"/>
    <n v="108.3775"/>
    <n v="0"/>
    <n v="0"/>
  </r>
  <r>
    <n v="168"/>
    <s v="81220192646IE"/>
    <s v="Admin"/>
    <s v="NA"/>
    <x v="5"/>
    <n v="2646"/>
    <s v="Sick Time FY20"/>
    <s v="NA"/>
    <x v="27"/>
    <n v="12"/>
    <n v="0"/>
    <n v="0"/>
    <n v="0"/>
    <n v="0"/>
    <n v="0"/>
    <n v="5"/>
    <n v="5"/>
    <x v="0"/>
    <s v="All"/>
    <n v="0"/>
    <n v="1"/>
    <n v="5"/>
    <n v="309.64999999999998"/>
    <n v="0"/>
    <n v="0"/>
  </r>
  <r>
    <n v="169"/>
    <s v="7220192600JM"/>
    <s v="Match"/>
    <s v="NA"/>
    <x v="6"/>
    <n v="2600"/>
    <s v="SM18 Master"/>
    <s v="NA"/>
    <x v="13"/>
    <n v="2"/>
    <n v="0"/>
    <n v="0"/>
    <n v="0"/>
    <n v="0"/>
    <n v="0"/>
    <n v="3"/>
    <n v="3"/>
    <x v="2"/>
    <s v="All"/>
    <n v="0"/>
    <n v="0.39500000000000002"/>
    <n v="1.1850000000000001"/>
    <n v="185.79"/>
    <n v="0"/>
    <n v="0"/>
  </r>
  <r>
    <n v="170"/>
    <s v="71020192600JM"/>
    <s v="Match"/>
    <s v="NA"/>
    <x v="6"/>
    <n v="2600"/>
    <s v="SM18 Master"/>
    <s v="NA"/>
    <x v="1"/>
    <n v="10"/>
    <n v="0"/>
    <n v="0"/>
    <n v="0"/>
    <n v="0"/>
    <n v="0"/>
    <n v="1.5"/>
    <n v="1.5"/>
    <x v="2"/>
    <s v="All"/>
    <n v="0"/>
    <n v="0.39500000000000002"/>
    <n v="0.59250000000000003"/>
    <n v="92.894999999999996"/>
    <n v="0"/>
    <n v="0"/>
  </r>
  <r>
    <n v="171"/>
    <s v="72520192600JM"/>
    <s v="Match"/>
    <s v="NA"/>
    <x v="6"/>
    <n v="2600"/>
    <s v="SM18 Master"/>
    <s v="NA"/>
    <x v="11"/>
    <n v="25"/>
    <n v="0"/>
    <n v="0"/>
    <n v="0"/>
    <n v="0"/>
    <n v="0"/>
    <n v="1.75"/>
    <n v="1.75"/>
    <x v="2"/>
    <s v="All"/>
    <n v="0"/>
    <n v="0.39500000000000002"/>
    <n v="0.69125000000000003"/>
    <n v="108.3775"/>
    <n v="0"/>
    <n v="0"/>
  </r>
  <r>
    <n v="172"/>
    <s v="8220192600JM"/>
    <s v="Match"/>
    <s v="NA"/>
    <x v="6"/>
    <n v="2600"/>
    <s v="SM18 Master"/>
    <s v="NA"/>
    <x v="22"/>
    <n v="2"/>
    <n v="0"/>
    <n v="0"/>
    <n v="0"/>
    <n v="0"/>
    <n v="0"/>
    <n v="6.75"/>
    <n v="6.75"/>
    <x v="2"/>
    <s v="All"/>
    <n v="0"/>
    <n v="0.39500000000000002"/>
    <n v="2.6662500000000002"/>
    <n v="418.02749999999997"/>
    <n v="0"/>
    <n v="0"/>
  </r>
  <r>
    <n v="173"/>
    <s v="8620192600JM"/>
    <s v="Match"/>
    <s v="NA"/>
    <x v="6"/>
    <n v="2600"/>
    <s v="SM18 Master"/>
    <s v="NA"/>
    <x v="24"/>
    <n v="6"/>
    <n v="0"/>
    <n v="0"/>
    <n v="0"/>
    <n v="0"/>
    <n v="0"/>
    <n v="4"/>
    <n v="4"/>
    <x v="2"/>
    <s v="All"/>
    <n v="0"/>
    <n v="0.39500000000000002"/>
    <n v="1.58"/>
    <n v="247.72"/>
    <n v="0"/>
    <n v="0"/>
  </r>
  <r>
    <n v="174"/>
    <s v="8720192600JM"/>
    <s v="Match"/>
    <s v="NA"/>
    <x v="6"/>
    <n v="2600"/>
    <s v="SM18 Master"/>
    <s v="NA"/>
    <x v="25"/>
    <n v="7"/>
    <n v="0"/>
    <n v="0"/>
    <n v="0"/>
    <n v="0"/>
    <n v="0"/>
    <n v="3"/>
    <n v="3"/>
    <x v="2"/>
    <s v="All"/>
    <n v="0"/>
    <n v="0.39500000000000002"/>
    <n v="1.1850000000000001"/>
    <n v="185.79"/>
    <n v="0"/>
    <n v="0"/>
  </r>
  <r>
    <n v="175"/>
    <s v="8820192600JM"/>
    <s v="Match"/>
    <s v="NA"/>
    <x v="6"/>
    <n v="2600"/>
    <s v="SM18 Master"/>
    <s v="NA"/>
    <x v="26"/>
    <n v="8"/>
    <n v="0"/>
    <n v="0"/>
    <n v="0"/>
    <n v="0"/>
    <n v="0"/>
    <n v="2.5"/>
    <n v="2.5"/>
    <x v="2"/>
    <s v="All"/>
    <n v="0"/>
    <n v="0.39500000000000002"/>
    <n v="0.98750000000000004"/>
    <n v="154.82499999999999"/>
    <n v="0"/>
    <n v="0"/>
  </r>
  <r>
    <n v="176"/>
    <s v="8920192600JM"/>
    <s v="Match"/>
    <s v="NA"/>
    <x v="6"/>
    <n v="2600"/>
    <s v="SM18 Master"/>
    <s v="NA"/>
    <x v="31"/>
    <n v="9"/>
    <n v="0"/>
    <n v="0"/>
    <n v="0"/>
    <n v="0"/>
    <n v="0"/>
    <n v="2"/>
    <n v="2"/>
    <x v="2"/>
    <s v="All"/>
    <n v="0"/>
    <n v="0.39500000000000002"/>
    <n v="0.79"/>
    <n v="123.86"/>
    <n v="0"/>
    <n v="0"/>
  </r>
  <r>
    <n v="177"/>
    <s v="81320192600JM"/>
    <s v="Match"/>
    <s v="NA"/>
    <x v="6"/>
    <n v="2600"/>
    <s v="SM18 Master"/>
    <s v="NA"/>
    <x v="28"/>
    <n v="13"/>
    <n v="0"/>
    <n v="0"/>
    <n v="0"/>
    <n v="0"/>
    <n v="0"/>
    <n v="1.75"/>
    <n v="1.75"/>
    <x v="2"/>
    <s v="All"/>
    <n v="0"/>
    <n v="0.39500000000000002"/>
    <n v="0.69125000000000003"/>
    <n v="108.3775"/>
    <n v="0"/>
    <n v="0"/>
  </r>
  <r>
    <n v="178"/>
    <s v="81520192600JM"/>
    <s v="Match"/>
    <s v="NA"/>
    <x v="6"/>
    <n v="2600"/>
    <s v="SM18 Master"/>
    <s v="NA"/>
    <x v="30"/>
    <n v="15"/>
    <n v="0"/>
    <n v="0"/>
    <n v="0"/>
    <n v="0"/>
    <n v="0"/>
    <n v="2.75"/>
    <n v="2.75"/>
    <x v="2"/>
    <s v="All"/>
    <n v="0"/>
    <n v="0.39500000000000002"/>
    <n v="1.0862500000000002"/>
    <n v="170.3075"/>
    <n v="0"/>
    <n v="0"/>
  </r>
  <r>
    <n v="179"/>
    <s v="81620192600JM"/>
    <s v="Match"/>
    <s v="NA"/>
    <x v="6"/>
    <n v="2600"/>
    <s v="SM18 Master"/>
    <s v="NA"/>
    <x v="36"/>
    <n v="16"/>
    <n v="0"/>
    <n v="0"/>
    <n v="0"/>
    <n v="0"/>
    <n v="0"/>
    <n v="6.75"/>
    <n v="6.75"/>
    <x v="2"/>
    <s v="All"/>
    <n v="0"/>
    <n v="0.39500000000000002"/>
    <n v="2.6662500000000002"/>
    <n v="418.02749999999997"/>
    <n v="0"/>
    <n v="0"/>
  </r>
  <r>
    <n v="180"/>
    <s v="82320192600JM"/>
    <s v="Match"/>
    <s v="NA"/>
    <x v="6"/>
    <n v="2600"/>
    <s v="SM18 Master"/>
    <s v="NA"/>
    <x v="35"/>
    <n v="23"/>
    <n v="0"/>
    <n v="0"/>
    <n v="0"/>
    <n v="0"/>
    <n v="0"/>
    <n v="0.25"/>
    <n v="0.25"/>
    <x v="2"/>
    <s v="All"/>
    <n v="0"/>
    <n v="0.39500000000000002"/>
    <n v="9.8750000000000004E-2"/>
    <n v="15.4825"/>
    <n v="0"/>
    <n v="0"/>
  </r>
  <r>
    <n v="181"/>
    <s v="82620192600JM"/>
    <s v="Match"/>
    <s v="NA"/>
    <x v="6"/>
    <n v="2600"/>
    <s v="SM18 Master"/>
    <s v="NA"/>
    <x v="37"/>
    <n v="26"/>
    <n v="0"/>
    <n v="0"/>
    <n v="0"/>
    <n v="0"/>
    <n v="0"/>
    <n v="0.25"/>
    <n v="0.25"/>
    <x v="2"/>
    <s v="All"/>
    <n v="0"/>
    <n v="0.39500000000000002"/>
    <n v="9.8750000000000004E-2"/>
    <n v="15.4825"/>
    <n v="0"/>
    <n v="0"/>
  </r>
  <r>
    <n v="182"/>
    <s v="8520192466RM"/>
    <s v="NB"/>
    <s v="NA"/>
    <x v="7"/>
    <n v="2466"/>
    <s v="Magnet Permitting"/>
    <s v="NA"/>
    <x v="23"/>
    <n v="5"/>
    <n v="0"/>
    <n v="0"/>
    <n v="0"/>
    <n v="0"/>
    <n v="0"/>
    <n v="0.25"/>
    <n v="0.25"/>
    <x v="3"/>
    <s v="All"/>
    <n v="0"/>
    <n v="0.5"/>
    <n v="0.125"/>
    <n v="15.4825"/>
    <n v="15.4825"/>
    <n v="0"/>
  </r>
  <r>
    <n v="183"/>
    <s v="81920192466RM"/>
    <s v="NB"/>
    <s v="NA"/>
    <x v="7"/>
    <n v="2466"/>
    <s v="Magnet Permitting"/>
    <s v="NA"/>
    <x v="44"/>
    <n v="19"/>
    <n v="0"/>
    <n v="0"/>
    <n v="0"/>
    <n v="0"/>
    <n v="0"/>
    <n v="1"/>
    <n v="1"/>
    <x v="3"/>
    <s v="All"/>
    <n v="0"/>
    <n v="0.5"/>
    <n v="0.5"/>
    <n v="61.93"/>
    <n v="61.93"/>
    <n v="0"/>
  </r>
  <r>
    <n v="184"/>
    <s v="82720192524IE"/>
    <s v="NB"/>
    <s v="NA"/>
    <x v="7"/>
    <n v="2524"/>
    <s v="Las Vegas Valley"/>
    <s v="NA"/>
    <x v="38"/>
    <n v="27"/>
    <n v="0"/>
    <n v="0"/>
    <n v="0"/>
    <n v="0"/>
    <n v="0"/>
    <n v="0.25"/>
    <n v="0.25"/>
    <x v="0"/>
    <s v="All"/>
    <n v="0"/>
    <n v="1"/>
    <n v="0.25"/>
    <n v="15.4825"/>
    <n v="15.4825"/>
    <n v="0"/>
  </r>
  <r>
    <n v="185"/>
    <s v="71820192526JM"/>
    <s v="NB"/>
    <s v="NA"/>
    <x v="7"/>
    <n v="2526"/>
    <s v="Biennial 2016"/>
    <s v="NA"/>
    <x v="7"/>
    <n v="18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186"/>
    <s v="71820192526JPH"/>
    <s v="NB"/>
    <s v="NA"/>
    <x v="7"/>
    <n v="2526"/>
    <s v="Biennial 2016"/>
    <s v="NA"/>
    <x v="7"/>
    <n v="18"/>
    <n v="0"/>
    <n v="0"/>
    <n v="0"/>
    <n v="0"/>
    <n v="0"/>
    <n v="2.5"/>
    <n v="2.5"/>
    <x v="1"/>
    <s v="All"/>
    <n v="0"/>
    <n v="0.53"/>
    <n v="1.3250000000000002"/>
    <n v="154.82499999999999"/>
    <n v="154.82499999999999"/>
    <n v="0"/>
  </r>
  <r>
    <n v="187"/>
    <s v="72320192526JM"/>
    <s v="NB"/>
    <s v="NA"/>
    <x v="7"/>
    <n v="2526"/>
    <s v="Biennial 2016"/>
    <s v="NA"/>
    <x v="9"/>
    <n v="23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188"/>
    <s v="72320192526JPH"/>
    <s v="NB"/>
    <s v="NA"/>
    <x v="7"/>
    <n v="2526"/>
    <s v="Biennial 2016"/>
    <s v="NA"/>
    <x v="9"/>
    <n v="23"/>
    <n v="0"/>
    <n v="0"/>
    <n v="0"/>
    <n v="0"/>
    <n v="0"/>
    <n v="2"/>
    <n v="2"/>
    <x v="1"/>
    <s v="All"/>
    <n v="0"/>
    <n v="0.53"/>
    <n v="1.06"/>
    <n v="123.86"/>
    <n v="123.86"/>
    <n v="0"/>
  </r>
  <r>
    <n v="189"/>
    <s v="72420192526JM"/>
    <s v="NB"/>
    <s v="NA"/>
    <x v="7"/>
    <n v="2526"/>
    <s v="Biennial 2016"/>
    <s v="NA"/>
    <x v="10"/>
    <n v="24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190"/>
    <s v="72420192526JPH"/>
    <s v="NB"/>
    <s v="NA"/>
    <x v="7"/>
    <n v="2526"/>
    <s v="Biennial 2016"/>
    <s v="NA"/>
    <x v="10"/>
    <n v="24"/>
    <n v="0"/>
    <n v="0"/>
    <n v="0"/>
    <n v="0"/>
    <n v="0"/>
    <n v="0.25"/>
    <n v="0.25"/>
    <x v="1"/>
    <s v="All"/>
    <n v="0"/>
    <n v="0.53"/>
    <n v="0.13250000000000001"/>
    <n v="15.4825"/>
    <n v="15.4825"/>
    <n v="0"/>
  </r>
  <r>
    <n v="191"/>
    <s v="72520192526JM"/>
    <s v="NB"/>
    <s v="NA"/>
    <x v="7"/>
    <n v="2526"/>
    <s v="Biennial 2016"/>
    <s v="NA"/>
    <x v="11"/>
    <n v="25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192"/>
    <s v="9320192590IE"/>
    <s v="NB"/>
    <s v="NA"/>
    <x v="7"/>
    <n v="2590"/>
    <s v="Forge Geologic Map"/>
    <s v="NA"/>
    <x v="45"/>
    <n v="3"/>
    <n v="0"/>
    <n v="0"/>
    <n v="0"/>
    <n v="0"/>
    <n v="0"/>
    <n v="4"/>
    <n v="4"/>
    <x v="0"/>
    <s v="All"/>
    <n v="0"/>
    <n v="1"/>
    <n v="4"/>
    <n v="247.72"/>
    <n v="247.72"/>
    <n v="0"/>
  </r>
  <r>
    <n v="193"/>
    <s v="9420192590IE"/>
    <s v="NB"/>
    <s v="NA"/>
    <x v="7"/>
    <n v="2590"/>
    <s v="Forge Geologic Map"/>
    <s v="NA"/>
    <x v="46"/>
    <n v="4"/>
    <n v="0"/>
    <n v="0"/>
    <n v="0"/>
    <n v="0"/>
    <n v="0"/>
    <n v="5"/>
    <n v="5"/>
    <x v="0"/>
    <s v="All"/>
    <n v="0"/>
    <n v="1"/>
    <n v="5"/>
    <n v="309.64999999999998"/>
    <n v="309.64999999999998"/>
    <n v="0"/>
  </r>
  <r>
    <n v="194"/>
    <s v="9520192590IE"/>
    <s v="NB"/>
    <s v="NA"/>
    <x v="7"/>
    <n v="2590"/>
    <s v="Forge Geologic Map"/>
    <s v="NA"/>
    <x v="47"/>
    <n v="5"/>
    <n v="0"/>
    <n v="0"/>
    <n v="0"/>
    <n v="0"/>
    <n v="0"/>
    <n v="2.5"/>
    <n v="2.5"/>
    <x v="0"/>
    <s v="All"/>
    <n v="0"/>
    <n v="1"/>
    <n v="2.5"/>
    <n v="154.82499999999999"/>
    <n v="154.82499999999999"/>
    <n v="0"/>
  </r>
  <r>
    <n v="195"/>
    <s v="9320192595IE"/>
    <s v="NB"/>
    <s v="NA"/>
    <x v="7"/>
    <n v="2595"/>
    <s v="SM18 Granite Peak"/>
    <s v="NA"/>
    <x v="45"/>
    <n v="3"/>
    <n v="0"/>
    <n v="0"/>
    <n v="0"/>
    <n v="0"/>
    <n v="0"/>
    <n v="3"/>
    <n v="3"/>
    <x v="0"/>
    <s v="All"/>
    <n v="0"/>
    <n v="1"/>
    <n v="3"/>
    <n v="185.79"/>
    <n v="185.79"/>
    <n v="0"/>
  </r>
  <r>
    <n v="196"/>
    <s v="9520192595IE"/>
    <s v="NB"/>
    <s v="NA"/>
    <x v="7"/>
    <n v="2595"/>
    <s v="SM18 Granite Peak"/>
    <s v="NA"/>
    <x v="47"/>
    <n v="5"/>
    <n v="0"/>
    <n v="0"/>
    <n v="0"/>
    <n v="0"/>
    <n v="0"/>
    <n v="0.5"/>
    <n v="0.5"/>
    <x v="0"/>
    <s v="All"/>
    <n v="0"/>
    <n v="1"/>
    <n v="0.5"/>
    <n v="30.965"/>
    <n v="30.965"/>
    <n v="0"/>
  </r>
  <r>
    <n v="197"/>
    <s v="82020192600JM"/>
    <s v="NB"/>
    <s v="NA"/>
    <x v="7"/>
    <n v="2600"/>
    <s v="SM18 Master"/>
    <s v="NA"/>
    <x v="32"/>
    <n v="20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198"/>
    <s v="82120192600JM"/>
    <s v="NB"/>
    <s v="NA"/>
    <x v="7"/>
    <n v="2600"/>
    <s v="SM18 Master"/>
    <s v="NA"/>
    <x v="33"/>
    <n v="21"/>
    <n v="0"/>
    <n v="0"/>
    <n v="0"/>
    <n v="0"/>
    <n v="0"/>
    <n v="3"/>
    <n v="3"/>
    <x v="2"/>
    <s v="All"/>
    <n v="0"/>
    <n v="0.39500000000000002"/>
    <n v="1.1850000000000001"/>
    <n v="185.79"/>
    <n v="185.79"/>
    <n v="0"/>
  </r>
  <r>
    <n v="199"/>
    <s v="9320192606IE"/>
    <s v="NB"/>
    <s v="NA"/>
    <x v="7"/>
    <n v="2606"/>
    <s v="SM18 Independence Valley"/>
    <s v="NA"/>
    <x v="45"/>
    <n v="3"/>
    <n v="0"/>
    <n v="0"/>
    <n v="0"/>
    <n v="0"/>
    <n v="0"/>
    <n v="0.5"/>
    <n v="0.5"/>
    <x v="0"/>
    <s v="All"/>
    <n v="0"/>
    <n v="1"/>
    <n v="0.5"/>
    <n v="30.965"/>
    <n v="30.965"/>
    <n v="0"/>
  </r>
  <r>
    <n v="200"/>
    <s v="9420192606IE"/>
    <s v="NB"/>
    <s v="NA"/>
    <x v="7"/>
    <n v="2606"/>
    <s v="SM18 Independence Valley"/>
    <s v="NA"/>
    <x v="46"/>
    <n v="4"/>
    <n v="0"/>
    <n v="0"/>
    <n v="0"/>
    <n v="0"/>
    <n v="0"/>
    <n v="4.5"/>
    <n v="4.5"/>
    <x v="0"/>
    <s v="All"/>
    <n v="0"/>
    <n v="1"/>
    <n v="4.5"/>
    <n v="278.685"/>
    <n v="278.685"/>
    <n v="0"/>
  </r>
  <r>
    <n v="201"/>
    <s v="9520192606IE"/>
    <s v="NB"/>
    <s v="NA"/>
    <x v="7"/>
    <n v="2606"/>
    <s v="SM18 Independence Valley"/>
    <s v="NA"/>
    <x v="47"/>
    <n v="5"/>
    <n v="0"/>
    <n v="0"/>
    <n v="0"/>
    <n v="0"/>
    <n v="0"/>
    <n v="6.5"/>
    <n v="6.5"/>
    <x v="0"/>
    <s v="All"/>
    <n v="0"/>
    <n v="1"/>
    <n v="6.5"/>
    <n v="402.54500000000002"/>
    <n v="402.54500000000002"/>
    <n v="0"/>
  </r>
  <r>
    <n v="202"/>
    <s v="9520192607IE"/>
    <s v="NB"/>
    <s v="NA"/>
    <x v="7"/>
    <n v="2607"/>
    <s v="SM18 Washoe City"/>
    <s v="NA"/>
    <x v="47"/>
    <n v="5"/>
    <n v="0"/>
    <n v="0"/>
    <n v="0"/>
    <n v="0"/>
    <n v="0"/>
    <n v="0.5"/>
    <n v="0.5"/>
    <x v="0"/>
    <s v="All"/>
    <n v="0"/>
    <n v="1"/>
    <n v="0.5"/>
    <n v="30.965"/>
    <n v="30.965"/>
    <n v="0"/>
  </r>
  <r>
    <n v="203"/>
    <s v="9320192617IE"/>
    <s v="NB"/>
    <s v="NA"/>
    <x v="7"/>
    <n v="2617"/>
    <s v="Gabbs Valley"/>
    <s v="NA"/>
    <x v="45"/>
    <n v="3"/>
    <n v="0"/>
    <n v="0"/>
    <n v="0"/>
    <n v="0"/>
    <n v="0"/>
    <n v="0.5"/>
    <n v="0.5"/>
    <x v="0"/>
    <s v="All"/>
    <n v="0"/>
    <n v="1"/>
    <n v="0.5"/>
    <n v="30.965"/>
    <n v="30.965"/>
    <n v="0"/>
  </r>
  <r>
    <n v="204"/>
    <s v="7120192624RM"/>
    <s v="NB"/>
    <s v="NA"/>
    <x v="7"/>
    <n v="2624"/>
    <s v="Keck Website"/>
    <s v="NA"/>
    <x v="12"/>
    <n v="1"/>
    <n v="0"/>
    <n v="0"/>
    <n v="0"/>
    <n v="0"/>
    <n v="0"/>
    <n v="2"/>
    <n v="2"/>
    <x v="3"/>
    <s v="All"/>
    <n v="0"/>
    <n v="0.5"/>
    <n v="1"/>
    <n v="123.86"/>
    <n v="123.86"/>
    <n v="0"/>
  </r>
  <r>
    <n v="205"/>
    <s v="7220192624JM"/>
    <s v="NB"/>
    <s v="NA"/>
    <x v="7"/>
    <n v="2624"/>
    <s v="Keck Website"/>
    <s v="NA"/>
    <x v="13"/>
    <n v="2"/>
    <n v="0"/>
    <n v="0"/>
    <n v="0"/>
    <n v="0"/>
    <n v="0"/>
    <n v="4"/>
    <n v="4"/>
    <x v="2"/>
    <s v="All"/>
    <n v="0"/>
    <n v="0.39500000000000002"/>
    <n v="1.58"/>
    <n v="247.72"/>
    <n v="247.72"/>
    <n v="0"/>
  </r>
  <r>
    <n v="206"/>
    <s v="7220192624RM"/>
    <s v="NB"/>
    <s v="NA"/>
    <x v="7"/>
    <n v="2624"/>
    <s v="Keck Website"/>
    <s v="NA"/>
    <x v="13"/>
    <n v="2"/>
    <n v="0"/>
    <n v="0"/>
    <n v="0"/>
    <n v="0"/>
    <n v="0"/>
    <n v="9"/>
    <n v="9"/>
    <x v="3"/>
    <s v="All"/>
    <n v="0"/>
    <n v="0.5"/>
    <n v="4.5"/>
    <n v="557.37"/>
    <n v="557.37"/>
    <n v="0"/>
  </r>
  <r>
    <n v="207"/>
    <s v="7320192624JM"/>
    <s v="NB"/>
    <s v="NA"/>
    <x v="7"/>
    <n v="2624"/>
    <s v="Keck Website"/>
    <s v="NA"/>
    <x v="14"/>
    <n v="3"/>
    <n v="0"/>
    <n v="0"/>
    <n v="0"/>
    <n v="0"/>
    <n v="0"/>
    <n v="1.5"/>
    <n v="1.5"/>
    <x v="2"/>
    <s v="All"/>
    <n v="0"/>
    <n v="0.39500000000000002"/>
    <n v="0.59250000000000003"/>
    <n v="92.894999999999996"/>
    <n v="92.894999999999996"/>
    <n v="0"/>
  </r>
  <r>
    <n v="208"/>
    <s v="7320192624RM"/>
    <s v="NB"/>
    <s v="NA"/>
    <x v="7"/>
    <n v="2624"/>
    <s v="Keck Website"/>
    <s v="NA"/>
    <x v="14"/>
    <n v="3"/>
    <n v="0"/>
    <n v="0"/>
    <n v="0"/>
    <n v="0"/>
    <n v="0"/>
    <n v="8"/>
    <n v="8"/>
    <x v="3"/>
    <s v="All"/>
    <n v="0"/>
    <n v="0.5"/>
    <n v="4"/>
    <n v="495.44"/>
    <n v="495.44"/>
    <n v="0"/>
  </r>
  <r>
    <n v="209"/>
    <s v="7820192624RM"/>
    <s v="NB"/>
    <s v="NA"/>
    <x v="7"/>
    <n v="2624"/>
    <s v="Keck Website"/>
    <s v="NA"/>
    <x v="15"/>
    <n v="8"/>
    <n v="0"/>
    <n v="0"/>
    <n v="0"/>
    <n v="0"/>
    <n v="0"/>
    <n v="4"/>
    <n v="4"/>
    <x v="3"/>
    <s v="All"/>
    <n v="0"/>
    <n v="0.5"/>
    <n v="2"/>
    <n v="247.72"/>
    <n v="247.72"/>
    <n v="0"/>
  </r>
  <r>
    <n v="210"/>
    <s v="7920192624RM"/>
    <s v="NB"/>
    <s v="NA"/>
    <x v="7"/>
    <n v="2624"/>
    <s v="Keck Website"/>
    <s v="NA"/>
    <x v="0"/>
    <n v="9"/>
    <n v="0"/>
    <n v="0"/>
    <n v="0"/>
    <n v="0"/>
    <n v="0"/>
    <n v="4"/>
    <n v="4"/>
    <x v="3"/>
    <s v="All"/>
    <n v="0"/>
    <n v="0.5"/>
    <n v="2"/>
    <n v="247.72"/>
    <n v="247.72"/>
    <n v="0"/>
  </r>
  <r>
    <n v="211"/>
    <s v="71020192624JM"/>
    <s v="NB"/>
    <s v="NA"/>
    <x v="7"/>
    <n v="2624"/>
    <s v="Keck Website"/>
    <s v="NA"/>
    <x v="1"/>
    <n v="10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212"/>
    <s v="71020192624RM"/>
    <s v="NB"/>
    <s v="NA"/>
    <x v="7"/>
    <n v="2624"/>
    <s v="Keck Website"/>
    <s v="NA"/>
    <x v="1"/>
    <n v="10"/>
    <n v="0"/>
    <n v="0"/>
    <n v="0"/>
    <n v="0"/>
    <n v="0"/>
    <n v="2.5"/>
    <n v="2.5"/>
    <x v="3"/>
    <s v="All"/>
    <n v="0"/>
    <n v="0.5"/>
    <n v="1.25"/>
    <n v="154.82499999999999"/>
    <n v="154.82499999999999"/>
    <n v="0"/>
  </r>
  <r>
    <n v="213"/>
    <s v="71120192624JM"/>
    <s v="NB"/>
    <s v="NA"/>
    <x v="7"/>
    <n v="2624"/>
    <s v="Keck Website"/>
    <s v="NA"/>
    <x v="2"/>
    <n v="11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14"/>
    <s v="71120192624RM"/>
    <s v="NB"/>
    <s v="NA"/>
    <x v="7"/>
    <n v="2624"/>
    <s v="Keck Website"/>
    <s v="NA"/>
    <x v="2"/>
    <n v="11"/>
    <n v="0"/>
    <n v="0"/>
    <n v="0"/>
    <n v="0"/>
    <n v="0"/>
    <n v="7.5"/>
    <n v="7.5"/>
    <x v="3"/>
    <s v="All"/>
    <n v="0"/>
    <n v="0.5"/>
    <n v="3.75"/>
    <n v="464.47500000000002"/>
    <n v="464.47500000000002"/>
    <n v="0"/>
  </r>
  <r>
    <n v="215"/>
    <s v="71620192624RM"/>
    <s v="NB"/>
    <s v="NA"/>
    <x v="7"/>
    <n v="2624"/>
    <s v="Keck Website"/>
    <s v="NA"/>
    <x v="5"/>
    <n v="16"/>
    <n v="0"/>
    <n v="0"/>
    <n v="0"/>
    <n v="0"/>
    <n v="0"/>
    <n v="7"/>
    <n v="7"/>
    <x v="3"/>
    <s v="All"/>
    <n v="0"/>
    <n v="0.5"/>
    <n v="3.5"/>
    <n v="433.51"/>
    <n v="433.51"/>
    <n v="0"/>
  </r>
  <r>
    <n v="216"/>
    <s v="71720192624RM"/>
    <s v="NB"/>
    <s v="NA"/>
    <x v="7"/>
    <n v="2624"/>
    <s v="Keck Website"/>
    <s v="NA"/>
    <x v="6"/>
    <n v="17"/>
    <n v="0"/>
    <n v="0"/>
    <n v="0"/>
    <n v="0"/>
    <n v="0"/>
    <n v="7.5"/>
    <n v="7.5"/>
    <x v="3"/>
    <s v="All"/>
    <n v="0"/>
    <n v="0.5"/>
    <n v="3.75"/>
    <n v="464.47500000000002"/>
    <n v="464.47500000000002"/>
    <n v="0"/>
  </r>
  <r>
    <n v="217"/>
    <s v="71820192624JM"/>
    <s v="NB"/>
    <s v="NA"/>
    <x v="7"/>
    <n v="2624"/>
    <s v="Keck Website"/>
    <s v="NA"/>
    <x v="7"/>
    <n v="18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18"/>
    <s v="71820192624RM"/>
    <s v="NB"/>
    <s v="NA"/>
    <x v="7"/>
    <n v="2624"/>
    <s v="Keck Website"/>
    <s v="NA"/>
    <x v="7"/>
    <n v="18"/>
    <n v="0"/>
    <n v="0"/>
    <n v="0"/>
    <n v="0"/>
    <n v="0"/>
    <n v="2.5"/>
    <n v="2.5"/>
    <x v="3"/>
    <s v="All"/>
    <n v="0"/>
    <n v="0.5"/>
    <n v="1.25"/>
    <n v="154.82499999999999"/>
    <n v="154.82499999999999"/>
    <n v="0"/>
  </r>
  <r>
    <n v="219"/>
    <s v="71920192624JM"/>
    <s v="NB"/>
    <s v="NA"/>
    <x v="7"/>
    <n v="2624"/>
    <s v="Keck Website"/>
    <s v="NA"/>
    <x v="16"/>
    <n v="19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220"/>
    <s v="72220192624RM"/>
    <s v="NB"/>
    <s v="NA"/>
    <x v="7"/>
    <n v="2624"/>
    <s v="Keck Website"/>
    <s v="NA"/>
    <x v="8"/>
    <n v="22"/>
    <n v="0"/>
    <n v="0"/>
    <n v="0"/>
    <n v="0"/>
    <n v="0"/>
    <n v="1.5"/>
    <n v="1.5"/>
    <x v="3"/>
    <s v="All"/>
    <n v="0"/>
    <n v="0.5"/>
    <n v="0.75"/>
    <n v="92.894999999999996"/>
    <n v="92.894999999999996"/>
    <n v="0"/>
  </r>
  <r>
    <n v="221"/>
    <s v="72320192624JM"/>
    <s v="NB"/>
    <s v="NA"/>
    <x v="7"/>
    <n v="2624"/>
    <s v="Keck Website"/>
    <s v="NA"/>
    <x v="9"/>
    <n v="23"/>
    <n v="0"/>
    <n v="0"/>
    <n v="0"/>
    <n v="0"/>
    <n v="0"/>
    <n v="1.25"/>
    <n v="1.25"/>
    <x v="2"/>
    <s v="All"/>
    <n v="0"/>
    <n v="0.39500000000000002"/>
    <n v="0.49375000000000002"/>
    <n v="77.412499999999994"/>
    <n v="77.412499999999994"/>
    <n v="0"/>
  </r>
  <r>
    <n v="222"/>
    <s v="72420192624JM"/>
    <s v="NB"/>
    <s v="NA"/>
    <x v="7"/>
    <n v="2624"/>
    <s v="Keck Website"/>
    <s v="NA"/>
    <x v="10"/>
    <n v="24"/>
    <n v="0"/>
    <n v="0"/>
    <n v="0"/>
    <n v="0"/>
    <n v="0"/>
    <n v="1"/>
    <n v="1"/>
    <x v="2"/>
    <s v="All"/>
    <n v="0"/>
    <n v="0.39500000000000002"/>
    <n v="0.39500000000000002"/>
    <n v="61.93"/>
    <n v="61.93"/>
    <n v="0"/>
  </r>
  <r>
    <n v="223"/>
    <s v="72920192624RM"/>
    <s v="NB"/>
    <s v="NA"/>
    <x v="7"/>
    <n v="2624"/>
    <s v="Keck Website"/>
    <s v="NA"/>
    <x v="18"/>
    <n v="29"/>
    <n v="0"/>
    <n v="0"/>
    <n v="0"/>
    <n v="0"/>
    <n v="0"/>
    <n v="2"/>
    <n v="2"/>
    <x v="3"/>
    <s v="All"/>
    <n v="0"/>
    <n v="0.5"/>
    <n v="1"/>
    <n v="123.86"/>
    <n v="123.86"/>
    <n v="0"/>
  </r>
  <r>
    <n v="224"/>
    <s v="73020192624JM"/>
    <s v="NB"/>
    <s v="NA"/>
    <x v="7"/>
    <n v="2624"/>
    <s v="Keck Website"/>
    <s v="NA"/>
    <x v="19"/>
    <n v="30"/>
    <n v="0"/>
    <n v="0"/>
    <n v="0"/>
    <n v="0"/>
    <n v="0"/>
    <n v="1"/>
    <n v="1"/>
    <x v="2"/>
    <s v="All"/>
    <n v="0"/>
    <n v="0.39500000000000002"/>
    <n v="0.39500000000000002"/>
    <n v="61.93"/>
    <n v="61.93"/>
    <n v="0"/>
  </r>
  <r>
    <n v="225"/>
    <s v="73020192624RM"/>
    <s v="NB"/>
    <s v="NA"/>
    <x v="7"/>
    <n v="2624"/>
    <s v="Keck Website"/>
    <s v="NA"/>
    <x v="19"/>
    <n v="30"/>
    <n v="0"/>
    <n v="0"/>
    <n v="0"/>
    <n v="0"/>
    <n v="0"/>
    <n v="0.5"/>
    <n v="0.5"/>
    <x v="3"/>
    <s v="All"/>
    <n v="0"/>
    <n v="0.5"/>
    <n v="0.25"/>
    <n v="30.965"/>
    <n v="30.965"/>
    <n v="0"/>
  </r>
  <r>
    <n v="226"/>
    <s v="8120192624JM"/>
    <s v="NB"/>
    <s v="NA"/>
    <x v="7"/>
    <n v="2624"/>
    <s v="Keck Website"/>
    <s v="NA"/>
    <x v="21"/>
    <n v="1"/>
    <n v="0"/>
    <n v="0"/>
    <n v="0"/>
    <n v="0"/>
    <n v="0"/>
    <n v="4"/>
    <n v="4"/>
    <x v="2"/>
    <s v="All"/>
    <n v="0"/>
    <n v="0.39500000000000002"/>
    <n v="1.58"/>
    <n v="247.72"/>
    <n v="247.72"/>
    <n v="0"/>
  </r>
  <r>
    <n v="227"/>
    <s v="8220192624JM"/>
    <s v="NB"/>
    <s v="NA"/>
    <x v="7"/>
    <n v="2624"/>
    <s v="Keck Website"/>
    <s v="NA"/>
    <x v="22"/>
    <n v="2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228"/>
    <s v="8520192624RM"/>
    <s v="NB"/>
    <s v="NA"/>
    <x v="7"/>
    <n v="2624"/>
    <s v="Keck Website"/>
    <s v="NA"/>
    <x v="23"/>
    <n v="5"/>
    <n v="0"/>
    <n v="0"/>
    <n v="0"/>
    <n v="0"/>
    <n v="0"/>
    <n v="0.5"/>
    <n v="0.5"/>
    <x v="3"/>
    <s v="All"/>
    <n v="0"/>
    <n v="0.5"/>
    <n v="0.25"/>
    <n v="30.965"/>
    <n v="30.965"/>
    <n v="0"/>
  </r>
  <r>
    <n v="229"/>
    <s v="8920192624JM"/>
    <s v="NB"/>
    <s v="NA"/>
    <x v="7"/>
    <n v="2624"/>
    <s v="Keck Website"/>
    <s v="NA"/>
    <x v="31"/>
    <n v="9"/>
    <n v="0"/>
    <n v="0"/>
    <n v="0"/>
    <n v="0"/>
    <n v="0"/>
    <n v="2.5"/>
    <n v="2.5"/>
    <x v="2"/>
    <s v="All"/>
    <n v="0"/>
    <n v="0.39500000000000002"/>
    <n v="0.98750000000000004"/>
    <n v="154.82499999999999"/>
    <n v="154.82499999999999"/>
    <n v="0"/>
  </r>
  <r>
    <n v="230"/>
    <s v="81420192624JM"/>
    <s v="NB"/>
    <s v="NA"/>
    <x v="7"/>
    <n v="2624"/>
    <s v="Keck Website"/>
    <s v="NA"/>
    <x v="29"/>
    <n v="14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231"/>
    <s v="81620192624JM"/>
    <s v="NB"/>
    <s v="NA"/>
    <x v="7"/>
    <n v="2624"/>
    <s v="Keck Website"/>
    <s v="NA"/>
    <x v="36"/>
    <n v="16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232"/>
    <s v="82020192624JM"/>
    <s v="NB"/>
    <s v="NA"/>
    <x v="7"/>
    <n v="2624"/>
    <s v="Keck Website"/>
    <s v="NA"/>
    <x v="32"/>
    <n v="20"/>
    <n v="0"/>
    <n v="0"/>
    <n v="0"/>
    <n v="0"/>
    <n v="0"/>
    <n v="4.75"/>
    <n v="4.75"/>
    <x v="2"/>
    <s v="All"/>
    <n v="0"/>
    <n v="0.39500000000000002"/>
    <n v="1.8762500000000002"/>
    <n v="294.16750000000002"/>
    <n v="294.16750000000002"/>
    <n v="0"/>
  </r>
  <r>
    <n v="233"/>
    <s v="82020192624RM"/>
    <s v="NB"/>
    <s v="NA"/>
    <x v="7"/>
    <n v="2624"/>
    <s v="Keck Website"/>
    <s v="NA"/>
    <x v="32"/>
    <n v="20"/>
    <n v="0"/>
    <n v="0"/>
    <n v="0"/>
    <n v="0"/>
    <n v="0"/>
    <n v="2.5"/>
    <n v="2.5"/>
    <x v="3"/>
    <s v="All"/>
    <n v="0"/>
    <n v="0.5"/>
    <n v="1.25"/>
    <n v="154.82499999999999"/>
    <n v="154.82499999999999"/>
    <n v="0"/>
  </r>
  <r>
    <n v="234"/>
    <s v="82120192624JM"/>
    <s v="NB"/>
    <s v="NA"/>
    <x v="7"/>
    <n v="2624"/>
    <s v="Keck Website"/>
    <s v="NA"/>
    <x v="33"/>
    <n v="21"/>
    <n v="0"/>
    <n v="0"/>
    <n v="0"/>
    <n v="0"/>
    <n v="0"/>
    <n v="1.75"/>
    <n v="1.75"/>
    <x v="2"/>
    <s v="All"/>
    <n v="0"/>
    <n v="0.39500000000000002"/>
    <n v="0.69125000000000003"/>
    <n v="108.3775"/>
    <n v="108.3775"/>
    <n v="0"/>
  </r>
  <r>
    <n v="235"/>
    <s v="82120192624RM"/>
    <s v="NB"/>
    <s v="NA"/>
    <x v="7"/>
    <n v="2624"/>
    <s v="Keck Website"/>
    <s v="NA"/>
    <x v="33"/>
    <n v="21"/>
    <n v="0"/>
    <n v="0"/>
    <n v="0"/>
    <n v="0"/>
    <n v="0"/>
    <n v="6"/>
    <n v="6"/>
    <x v="3"/>
    <s v="All"/>
    <n v="0"/>
    <n v="0.5"/>
    <n v="3"/>
    <n v="371.58"/>
    <n v="371.58"/>
    <n v="0"/>
  </r>
  <r>
    <n v="236"/>
    <s v="82220192624JM"/>
    <s v="NB"/>
    <s v="NA"/>
    <x v="7"/>
    <n v="2624"/>
    <s v="Keck Website"/>
    <s v="NA"/>
    <x v="34"/>
    <n v="22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37"/>
    <s v="82220192624RM"/>
    <s v="NB"/>
    <s v="NA"/>
    <x v="7"/>
    <n v="2624"/>
    <s v="Keck Website"/>
    <s v="NA"/>
    <x v="34"/>
    <n v="22"/>
    <n v="0"/>
    <n v="0"/>
    <n v="0"/>
    <n v="0"/>
    <n v="0"/>
    <n v="0.5"/>
    <n v="0.5"/>
    <x v="3"/>
    <s v="All"/>
    <n v="0"/>
    <n v="0.5"/>
    <n v="0.25"/>
    <n v="30.965"/>
    <n v="30.965"/>
    <n v="0"/>
  </r>
  <r>
    <n v="238"/>
    <s v="82620192624RM"/>
    <s v="NB"/>
    <s v="NA"/>
    <x v="7"/>
    <n v="2624"/>
    <s v="Keck Website"/>
    <s v="NA"/>
    <x v="37"/>
    <n v="26"/>
    <n v="0"/>
    <n v="0"/>
    <n v="0"/>
    <n v="0"/>
    <n v="0"/>
    <n v="1"/>
    <n v="1"/>
    <x v="3"/>
    <s v="All"/>
    <n v="0"/>
    <n v="0.5"/>
    <n v="0.5"/>
    <n v="61.93"/>
    <n v="61.93"/>
    <n v="0"/>
  </r>
  <r>
    <n v="239"/>
    <s v="82720192624RM"/>
    <s v="NB"/>
    <s v="NA"/>
    <x v="7"/>
    <n v="2624"/>
    <s v="Keck Website"/>
    <s v="NA"/>
    <x v="38"/>
    <n v="27"/>
    <n v="0"/>
    <n v="0"/>
    <n v="0"/>
    <n v="0"/>
    <n v="0"/>
    <n v="1"/>
    <n v="1"/>
    <x v="3"/>
    <s v="All"/>
    <n v="0"/>
    <n v="0.5"/>
    <n v="0.5"/>
    <n v="61.93"/>
    <n v="61.93"/>
    <n v="0"/>
  </r>
  <r>
    <n v="240"/>
    <s v="82820192624RM"/>
    <s v="NB"/>
    <s v="NA"/>
    <x v="7"/>
    <n v="2624"/>
    <s v="Keck Website"/>
    <s v="NA"/>
    <x v="40"/>
    <n v="28"/>
    <n v="0"/>
    <n v="0"/>
    <n v="0"/>
    <n v="0"/>
    <n v="0"/>
    <n v="1"/>
    <n v="1"/>
    <x v="3"/>
    <s v="All"/>
    <n v="0"/>
    <n v="0.5"/>
    <n v="0.5"/>
    <n v="61.93"/>
    <n v="61.93"/>
    <n v="0"/>
  </r>
  <r>
    <n v="241"/>
    <s v="9320192627JPH"/>
    <s v="NB"/>
    <s v="NA"/>
    <x v="7"/>
    <n v="2627"/>
    <s v="2020 Nevada Geology Calendar"/>
    <s v="NA"/>
    <x v="45"/>
    <n v="3"/>
    <n v="0"/>
    <n v="0"/>
    <n v="0"/>
    <n v="0"/>
    <n v="0"/>
    <n v="3.5"/>
    <n v="3.5"/>
    <x v="1"/>
    <s v="All"/>
    <n v="0"/>
    <n v="0.53"/>
    <n v="1.855"/>
    <n v="216.755"/>
    <n v="216.755"/>
    <n v="0"/>
  </r>
  <r>
    <n v="242"/>
    <s v="72320192635JM"/>
    <s v="NB"/>
    <s v="NA"/>
    <x v="7"/>
    <n v="2635"/>
    <s v="2020 AASG Meeting"/>
    <s v="NA"/>
    <x v="9"/>
    <n v="23"/>
    <n v="0"/>
    <n v="0"/>
    <n v="0"/>
    <n v="0"/>
    <n v="0"/>
    <n v="1"/>
    <n v="1"/>
    <x v="2"/>
    <s v="All"/>
    <n v="0"/>
    <n v="0.39500000000000002"/>
    <n v="0.39500000000000002"/>
    <n v="61.93"/>
    <n v="61.93"/>
    <n v="0"/>
  </r>
  <r>
    <n v="243"/>
    <s v="72520192635JM"/>
    <s v="NB"/>
    <s v="NA"/>
    <x v="7"/>
    <n v="2635"/>
    <s v="2020 AASG Meeting"/>
    <s v="NA"/>
    <x v="11"/>
    <n v="25"/>
    <n v="0"/>
    <n v="0"/>
    <n v="0"/>
    <n v="0"/>
    <n v="0"/>
    <n v="1"/>
    <n v="1"/>
    <x v="2"/>
    <s v="All"/>
    <n v="0"/>
    <n v="0.39500000000000002"/>
    <n v="0.39500000000000002"/>
    <n v="61.93"/>
    <n v="61.93"/>
    <n v="0"/>
  </r>
  <r>
    <n v="244"/>
    <s v="8220192635JM"/>
    <s v="NB"/>
    <s v="NA"/>
    <x v="7"/>
    <n v="2635"/>
    <s v="2020 AASG Meeting"/>
    <s v="NA"/>
    <x v="22"/>
    <n v="2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45"/>
    <s v="8620192635JM"/>
    <s v="NB"/>
    <s v="NA"/>
    <x v="7"/>
    <n v="2635"/>
    <s v="2020 AASG Meeting"/>
    <s v="NA"/>
    <x v="24"/>
    <n v="6"/>
    <n v="0"/>
    <n v="0"/>
    <n v="0"/>
    <n v="0"/>
    <n v="0"/>
    <n v="0.75"/>
    <n v="0.75"/>
    <x v="2"/>
    <s v="All"/>
    <n v="0"/>
    <n v="0.39500000000000002"/>
    <n v="0.29625000000000001"/>
    <n v="46.447499999999998"/>
    <n v="46.447499999999998"/>
    <n v="0"/>
  </r>
  <r>
    <n v="246"/>
    <s v="71820192637JM"/>
    <s v="NB"/>
    <s v="NA"/>
    <x v="7"/>
    <n v="2637"/>
    <s v="NV MRDP"/>
    <s v="NA"/>
    <x v="7"/>
    <n v="18"/>
    <n v="0"/>
    <n v="0"/>
    <n v="0"/>
    <n v="0"/>
    <n v="0"/>
    <n v="0.5"/>
    <n v="0.5"/>
    <x v="2"/>
    <s v="All"/>
    <n v="0"/>
    <n v="0.39500000000000002"/>
    <n v="0.19750000000000001"/>
    <n v="30.965"/>
    <n v="30.965"/>
    <n v="0"/>
  </r>
  <r>
    <n v="247"/>
    <s v="71820192637RM"/>
    <s v="NB"/>
    <s v="NA"/>
    <x v="7"/>
    <n v="2637"/>
    <s v="NV MRDP"/>
    <s v="NA"/>
    <x v="7"/>
    <n v="18"/>
    <n v="0"/>
    <n v="0"/>
    <n v="0"/>
    <n v="0"/>
    <n v="0"/>
    <n v="1.5"/>
    <n v="1.5"/>
    <x v="3"/>
    <s v="All"/>
    <n v="0"/>
    <n v="0.5"/>
    <n v="0.75"/>
    <n v="92.894999999999996"/>
    <n v="92.894999999999996"/>
    <n v="0"/>
  </r>
  <r>
    <n v="248"/>
    <s v="71920192637JM"/>
    <s v="NB"/>
    <s v="NA"/>
    <x v="7"/>
    <n v="2637"/>
    <s v="NV MRDP"/>
    <s v="NA"/>
    <x v="16"/>
    <n v="19"/>
    <n v="0"/>
    <n v="0"/>
    <n v="0"/>
    <n v="0"/>
    <n v="0"/>
    <n v="4.5"/>
    <n v="4.5"/>
    <x v="2"/>
    <s v="All"/>
    <n v="0"/>
    <n v="0.39500000000000002"/>
    <n v="1.7775000000000001"/>
    <n v="278.685"/>
    <n v="278.685"/>
    <n v="0"/>
  </r>
  <r>
    <n v="249"/>
    <s v="72220192637RM"/>
    <s v="NB"/>
    <s v="NA"/>
    <x v="7"/>
    <n v="2637"/>
    <s v="NV MRDP"/>
    <s v="NA"/>
    <x v="8"/>
    <n v="22"/>
    <n v="0"/>
    <n v="0"/>
    <n v="0"/>
    <n v="0"/>
    <n v="0"/>
    <n v="4"/>
    <n v="4"/>
    <x v="3"/>
    <s v="All"/>
    <n v="0"/>
    <n v="0.5"/>
    <n v="2"/>
    <n v="247.72"/>
    <n v="247.72"/>
    <n v="0"/>
  </r>
  <r>
    <n v="250"/>
    <s v="72320192637JM"/>
    <s v="NB"/>
    <s v="NA"/>
    <x v="7"/>
    <n v="2637"/>
    <s v="NV MRDP"/>
    <s v="NA"/>
    <x v="9"/>
    <n v="23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51"/>
    <s v="72320192637RM"/>
    <s v="NB"/>
    <s v="NA"/>
    <x v="7"/>
    <n v="2637"/>
    <s v="NV MRDP"/>
    <s v="NA"/>
    <x v="9"/>
    <n v="23"/>
    <n v="0"/>
    <n v="0"/>
    <n v="0"/>
    <n v="0"/>
    <n v="0"/>
    <n v="6"/>
    <n v="6"/>
    <x v="3"/>
    <s v="All"/>
    <n v="0"/>
    <n v="0.5"/>
    <n v="3"/>
    <n v="371.58"/>
    <n v="371.58"/>
    <n v="0"/>
  </r>
  <r>
    <n v="252"/>
    <s v="72420192637JM"/>
    <s v="NB"/>
    <s v="NA"/>
    <x v="7"/>
    <n v="2637"/>
    <s v="NV MRDP"/>
    <s v="NA"/>
    <x v="10"/>
    <n v="24"/>
    <n v="0"/>
    <n v="0"/>
    <n v="0"/>
    <n v="0"/>
    <n v="0"/>
    <n v="3"/>
    <n v="3"/>
    <x v="2"/>
    <s v="All"/>
    <n v="0"/>
    <n v="0.39500000000000002"/>
    <n v="1.1850000000000001"/>
    <n v="185.79"/>
    <n v="185.79"/>
    <n v="0"/>
  </r>
  <r>
    <n v="253"/>
    <s v="72420192637RM"/>
    <s v="NB"/>
    <s v="NA"/>
    <x v="7"/>
    <n v="2637"/>
    <s v="NV MRDP"/>
    <s v="NA"/>
    <x v="10"/>
    <n v="24"/>
    <n v="0"/>
    <n v="0"/>
    <n v="0"/>
    <n v="0"/>
    <n v="0"/>
    <n v="5"/>
    <n v="5"/>
    <x v="3"/>
    <s v="All"/>
    <n v="0"/>
    <n v="0.5"/>
    <n v="2.5"/>
    <n v="309.64999999999998"/>
    <n v="309.64999999999998"/>
    <n v="0"/>
  </r>
  <r>
    <n v="254"/>
    <s v="72520192637JM"/>
    <s v="NB"/>
    <s v="NA"/>
    <x v="7"/>
    <n v="2637"/>
    <s v="NV MRDP"/>
    <s v="NA"/>
    <x v="11"/>
    <n v="25"/>
    <n v="0"/>
    <n v="0"/>
    <n v="0"/>
    <n v="0"/>
    <n v="0"/>
    <n v="1"/>
    <n v="1"/>
    <x v="2"/>
    <s v="All"/>
    <n v="0"/>
    <n v="0.39500000000000002"/>
    <n v="0.39500000000000002"/>
    <n v="61.93"/>
    <n v="61.93"/>
    <n v="0"/>
  </r>
  <r>
    <n v="255"/>
    <s v="72520192637RM"/>
    <s v="NB"/>
    <s v="NA"/>
    <x v="7"/>
    <n v="2637"/>
    <s v="NV MRDP"/>
    <s v="NA"/>
    <x v="11"/>
    <n v="25"/>
    <n v="0"/>
    <n v="0"/>
    <n v="0"/>
    <n v="0"/>
    <n v="0"/>
    <n v="5"/>
    <n v="5"/>
    <x v="3"/>
    <s v="All"/>
    <n v="0"/>
    <n v="0.5"/>
    <n v="2.5"/>
    <n v="309.64999999999998"/>
    <n v="309.64999999999998"/>
    <n v="0"/>
  </r>
  <r>
    <n v="256"/>
    <s v="72620192637RM"/>
    <s v="NB"/>
    <s v="NA"/>
    <x v="7"/>
    <n v="2637"/>
    <s v="NV MRDP"/>
    <s v="NA"/>
    <x v="17"/>
    <n v="26"/>
    <n v="0"/>
    <n v="0"/>
    <n v="0"/>
    <n v="0"/>
    <n v="0"/>
    <n v="2.5"/>
    <n v="2.5"/>
    <x v="3"/>
    <s v="All"/>
    <n v="0"/>
    <n v="0.5"/>
    <n v="1.25"/>
    <n v="154.82499999999999"/>
    <n v="154.82499999999999"/>
    <n v="0"/>
  </r>
  <r>
    <n v="257"/>
    <s v="72920192637RM"/>
    <s v="NB"/>
    <s v="NA"/>
    <x v="7"/>
    <n v="2637"/>
    <s v="NV MRDP"/>
    <s v="NA"/>
    <x v="18"/>
    <n v="29"/>
    <n v="0"/>
    <n v="0"/>
    <n v="0"/>
    <n v="0"/>
    <n v="0"/>
    <n v="5.5"/>
    <n v="5.5"/>
    <x v="3"/>
    <s v="All"/>
    <n v="0"/>
    <n v="0.5"/>
    <n v="2.75"/>
    <n v="340.61500000000001"/>
    <n v="340.61500000000001"/>
    <n v="0"/>
  </r>
  <r>
    <n v="258"/>
    <s v="73020192637JM"/>
    <s v="NB"/>
    <s v="NA"/>
    <x v="7"/>
    <n v="2637"/>
    <s v="NV MRDP"/>
    <s v="NA"/>
    <x v="19"/>
    <n v="30"/>
    <n v="0"/>
    <n v="0"/>
    <n v="0"/>
    <n v="0"/>
    <n v="0"/>
    <n v="4.5"/>
    <n v="4.5"/>
    <x v="2"/>
    <s v="All"/>
    <n v="0"/>
    <n v="0.39500000000000002"/>
    <n v="1.7775000000000001"/>
    <n v="278.685"/>
    <n v="278.685"/>
    <n v="0"/>
  </r>
  <r>
    <n v="259"/>
    <s v="73020192637RM"/>
    <s v="NB"/>
    <s v="NA"/>
    <x v="7"/>
    <n v="2637"/>
    <s v="NV MRDP"/>
    <s v="NA"/>
    <x v="19"/>
    <n v="30"/>
    <n v="0"/>
    <n v="0"/>
    <n v="0"/>
    <n v="0"/>
    <n v="0"/>
    <n v="8"/>
    <n v="8"/>
    <x v="3"/>
    <s v="All"/>
    <n v="0"/>
    <n v="0.5"/>
    <n v="4"/>
    <n v="495.44"/>
    <n v="495.44"/>
    <n v="0"/>
  </r>
  <r>
    <n v="260"/>
    <s v="73120192637JM"/>
    <s v="NB"/>
    <s v="NA"/>
    <x v="7"/>
    <n v="2637"/>
    <s v="NV MRDP"/>
    <s v="NA"/>
    <x v="20"/>
    <n v="31"/>
    <n v="0"/>
    <n v="0"/>
    <n v="0"/>
    <n v="0"/>
    <n v="0"/>
    <n v="1.5"/>
    <n v="1.5"/>
    <x v="2"/>
    <s v="All"/>
    <n v="0"/>
    <n v="0.39500000000000002"/>
    <n v="0.59250000000000003"/>
    <n v="92.894999999999996"/>
    <n v="92.894999999999996"/>
    <n v="0"/>
  </r>
  <r>
    <n v="261"/>
    <s v="8120192637JM"/>
    <s v="NB"/>
    <s v="NA"/>
    <x v="7"/>
    <n v="2637"/>
    <s v="NV MRDP"/>
    <s v="NA"/>
    <x v="21"/>
    <n v="1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262"/>
    <s v="8120192637RM"/>
    <s v="NB"/>
    <s v="NA"/>
    <x v="7"/>
    <n v="2637"/>
    <s v="NV MRDP"/>
    <s v="NA"/>
    <x v="21"/>
    <n v="1"/>
    <n v="0"/>
    <n v="0"/>
    <n v="0"/>
    <n v="0"/>
    <n v="0"/>
    <n v="9.5"/>
    <n v="9.5"/>
    <x v="3"/>
    <s v="All"/>
    <n v="0"/>
    <n v="0.5"/>
    <n v="4.75"/>
    <n v="588.33500000000004"/>
    <n v="588.33500000000004"/>
    <n v="0"/>
  </r>
  <r>
    <n v="263"/>
    <s v="8520192637RM"/>
    <s v="NB"/>
    <s v="NA"/>
    <x v="7"/>
    <n v="2637"/>
    <s v="NV MRDP"/>
    <s v="NA"/>
    <x v="23"/>
    <n v="5"/>
    <n v="0"/>
    <n v="0"/>
    <n v="0"/>
    <n v="0"/>
    <n v="0"/>
    <n v="8"/>
    <n v="8"/>
    <x v="3"/>
    <s v="All"/>
    <n v="0"/>
    <n v="0.5"/>
    <n v="4"/>
    <n v="495.44"/>
    <n v="495.44"/>
    <n v="0"/>
  </r>
  <r>
    <n v="264"/>
    <s v="8620192637RM"/>
    <s v="NB"/>
    <s v="NA"/>
    <x v="7"/>
    <n v="2637"/>
    <s v="NV MRDP"/>
    <s v="NA"/>
    <x v="24"/>
    <n v="6"/>
    <n v="0"/>
    <n v="0"/>
    <n v="0"/>
    <n v="0"/>
    <n v="0"/>
    <n v="7.5"/>
    <n v="7.5"/>
    <x v="3"/>
    <s v="All"/>
    <n v="0"/>
    <n v="0.5"/>
    <n v="3.75"/>
    <n v="464.47500000000002"/>
    <n v="464.47500000000002"/>
    <n v="0"/>
  </r>
  <r>
    <n v="265"/>
    <s v="8720192637JM"/>
    <s v="NB"/>
    <s v="NA"/>
    <x v="7"/>
    <n v="2637"/>
    <s v="NV MRDP"/>
    <s v="NA"/>
    <x v="25"/>
    <n v="7"/>
    <n v="0"/>
    <n v="0"/>
    <n v="0"/>
    <n v="0"/>
    <n v="0"/>
    <n v="1.5"/>
    <n v="1.5"/>
    <x v="2"/>
    <s v="All"/>
    <n v="0"/>
    <n v="0.39500000000000002"/>
    <n v="0.59250000000000003"/>
    <n v="92.894999999999996"/>
    <n v="92.894999999999996"/>
    <n v="0"/>
  </r>
  <r>
    <n v="266"/>
    <s v="8820192637RM"/>
    <s v="NB"/>
    <s v="NA"/>
    <x v="7"/>
    <n v="2637"/>
    <s v="NV MRDP"/>
    <s v="NA"/>
    <x v="26"/>
    <n v="8"/>
    <n v="0"/>
    <n v="0"/>
    <n v="0"/>
    <n v="0"/>
    <n v="0"/>
    <n v="9"/>
    <n v="9"/>
    <x v="3"/>
    <s v="All"/>
    <n v="0"/>
    <n v="0.5"/>
    <n v="4.5"/>
    <n v="557.37"/>
    <n v="557.37"/>
    <n v="0"/>
  </r>
  <r>
    <n v="267"/>
    <s v="81520192637RM"/>
    <s v="NB"/>
    <s v="NA"/>
    <x v="7"/>
    <n v="2637"/>
    <s v="NV MRDP"/>
    <s v="NA"/>
    <x v="30"/>
    <n v="15"/>
    <n v="0"/>
    <n v="0"/>
    <n v="0"/>
    <n v="0"/>
    <n v="0"/>
    <n v="9"/>
    <n v="9"/>
    <x v="3"/>
    <s v="All"/>
    <n v="0"/>
    <n v="0.5"/>
    <n v="4.5"/>
    <n v="557.37"/>
    <n v="557.37"/>
    <n v="0"/>
  </r>
  <r>
    <n v="268"/>
    <s v="81620192637RM"/>
    <s v="NB"/>
    <s v="NA"/>
    <x v="7"/>
    <n v="2637"/>
    <s v="NV MRDP"/>
    <s v="NA"/>
    <x v="36"/>
    <n v="16"/>
    <n v="0"/>
    <n v="0"/>
    <n v="0"/>
    <n v="0"/>
    <n v="0"/>
    <n v="8"/>
    <n v="8"/>
    <x v="3"/>
    <s v="All"/>
    <n v="0"/>
    <n v="0.5"/>
    <n v="4"/>
    <n v="495.44"/>
    <n v="495.44"/>
    <n v="0"/>
  </r>
  <r>
    <n v="269"/>
    <s v="81920192637RM"/>
    <s v="NB"/>
    <s v="NA"/>
    <x v="7"/>
    <n v="2637"/>
    <s v="NV MRDP"/>
    <s v="NA"/>
    <x v="44"/>
    <n v="19"/>
    <n v="0"/>
    <n v="0"/>
    <n v="0"/>
    <n v="0"/>
    <n v="0"/>
    <n v="1"/>
    <n v="1"/>
    <x v="3"/>
    <s v="All"/>
    <n v="0"/>
    <n v="0.5"/>
    <n v="0.5"/>
    <n v="61.93"/>
    <n v="61.93"/>
    <n v="0"/>
  </r>
  <r>
    <n v="270"/>
    <s v="82020192637RM"/>
    <s v="NB"/>
    <s v="NA"/>
    <x v="7"/>
    <n v="2637"/>
    <s v="NV MRDP"/>
    <s v="NA"/>
    <x v="32"/>
    <n v="20"/>
    <n v="0"/>
    <n v="0"/>
    <n v="0"/>
    <n v="0"/>
    <n v="0"/>
    <n v="1"/>
    <n v="1"/>
    <x v="3"/>
    <s v="All"/>
    <n v="0"/>
    <n v="0.5"/>
    <n v="0.5"/>
    <n v="61.93"/>
    <n v="61.93"/>
    <n v="0"/>
  </r>
  <r>
    <n v="271"/>
    <s v="82320192637JM"/>
    <s v="NB"/>
    <s v="NA"/>
    <x v="7"/>
    <n v="2637"/>
    <s v="NV MRDP"/>
    <s v="NA"/>
    <x v="35"/>
    <n v="23"/>
    <n v="0"/>
    <n v="0"/>
    <n v="0"/>
    <n v="0"/>
    <n v="0"/>
    <n v="0.75"/>
    <n v="0.75"/>
    <x v="2"/>
    <s v="All"/>
    <n v="0"/>
    <n v="0.39500000000000002"/>
    <n v="0.29625000000000001"/>
    <n v="46.447499999999998"/>
    <n v="46.447499999999998"/>
    <n v="0"/>
  </r>
  <r>
    <n v="272"/>
    <s v="82620192637RM"/>
    <s v="NB"/>
    <s v="NA"/>
    <x v="7"/>
    <n v="2637"/>
    <s v="NV MRDP"/>
    <s v="NA"/>
    <x v="37"/>
    <n v="26"/>
    <n v="0"/>
    <n v="0"/>
    <n v="0"/>
    <n v="0"/>
    <n v="0"/>
    <n v="0.5"/>
    <n v="0.5"/>
    <x v="3"/>
    <s v="All"/>
    <n v="0"/>
    <n v="0.5"/>
    <n v="0.25"/>
    <n v="30.965"/>
    <n v="30.965"/>
    <n v="0"/>
  </r>
  <r>
    <n v="273"/>
    <s v="82820192637RM"/>
    <s v="NB"/>
    <s v="NA"/>
    <x v="7"/>
    <n v="2637"/>
    <s v="NV MRDP"/>
    <s v="NA"/>
    <x v="40"/>
    <n v="28"/>
    <n v="0"/>
    <n v="0"/>
    <n v="0"/>
    <n v="0"/>
    <n v="0"/>
    <n v="1"/>
    <n v="1"/>
    <x v="3"/>
    <s v="All"/>
    <n v="0"/>
    <n v="0.5"/>
    <n v="0.5"/>
    <n v="61.93"/>
    <n v="61.93"/>
    <n v="0"/>
  </r>
  <r>
    <n v="274"/>
    <s v="82920192637JM"/>
    <s v="NB"/>
    <s v="NA"/>
    <x v="7"/>
    <n v="2637"/>
    <s v="NV MRDP"/>
    <s v="NA"/>
    <x v="41"/>
    <n v="29"/>
    <n v="0"/>
    <n v="0"/>
    <n v="0"/>
    <n v="0"/>
    <n v="0"/>
    <n v="5"/>
    <n v="5"/>
    <x v="2"/>
    <s v="All"/>
    <n v="0"/>
    <n v="0.39500000000000002"/>
    <n v="1.9750000000000001"/>
    <n v="309.64999999999998"/>
    <n v="309.64999999999998"/>
    <n v="0"/>
  </r>
  <r>
    <n v="275"/>
    <s v="51520192638RM"/>
    <s v="NB"/>
    <s v="NA"/>
    <x v="7"/>
    <n v="2638"/>
    <s v="P&amp;M - 2nd Half 2019 (FY20)"/>
    <s v="NA"/>
    <x v="48"/>
    <n v="15"/>
    <n v="0.5"/>
    <n v="0"/>
    <n v="0"/>
    <n v="0"/>
    <n v="0"/>
    <n v="0"/>
    <n v="0.5"/>
    <x v="3"/>
    <s v="All"/>
    <n v="0"/>
    <n v="0.5"/>
    <n v="0.25"/>
    <n v="30.965"/>
    <n v="24.19"/>
    <n v="0"/>
  </r>
  <r>
    <n v="276"/>
    <s v="7120192638RM"/>
    <s v="NB"/>
    <s v="NA"/>
    <x v="7"/>
    <n v="2638"/>
    <s v="P&amp;M - 2nd Half 2019 (FY20)"/>
    <s v="NA"/>
    <x v="12"/>
    <n v="1"/>
    <n v="1.5"/>
    <n v="0"/>
    <n v="0"/>
    <n v="0"/>
    <n v="0"/>
    <n v="0"/>
    <n v="1.5"/>
    <x v="3"/>
    <s v="All"/>
    <n v="0"/>
    <n v="0.5"/>
    <n v="0.75"/>
    <n v="92.894999999999996"/>
    <n v="92.894999999999996"/>
    <n v="0"/>
  </r>
  <r>
    <n v="277"/>
    <s v="7120192638RM"/>
    <s v="NB"/>
    <s v="NA"/>
    <x v="7"/>
    <n v="2638"/>
    <s v="P&amp;M - 2nd Half 2019 (FY20)"/>
    <s v="NA"/>
    <x v="12"/>
    <n v="1"/>
    <n v="0"/>
    <n v="3.25"/>
    <n v="0"/>
    <n v="0"/>
    <n v="0"/>
    <n v="0"/>
    <n v="3.25"/>
    <x v="3"/>
    <s v="All"/>
    <n v="0"/>
    <n v="0.5"/>
    <n v="1.625"/>
    <n v="201.27250000000001"/>
    <n v="201.27250000000001"/>
    <n v="0"/>
  </r>
  <r>
    <n v="278"/>
    <s v="7120192638RM"/>
    <s v="NB"/>
    <s v="NA"/>
    <x v="7"/>
    <n v="2638"/>
    <s v="P&amp;M - 2nd Half 2019 (FY20)"/>
    <s v="NA"/>
    <x v="12"/>
    <n v="1"/>
    <n v="0"/>
    <n v="0"/>
    <n v="0"/>
    <n v="2"/>
    <n v="0"/>
    <n v="0"/>
    <n v="2"/>
    <x v="3"/>
    <s v="All"/>
    <n v="0"/>
    <n v="0.5"/>
    <n v="1"/>
    <n v="123.86"/>
    <n v="123.86"/>
    <n v="0"/>
  </r>
  <r>
    <n v="279"/>
    <s v="7220192638JM"/>
    <s v="NB"/>
    <s v="NA"/>
    <x v="7"/>
    <n v="2638"/>
    <s v="P&amp;M - 2nd Half 2019 (FY20)"/>
    <s v="NA"/>
    <x v="13"/>
    <n v="2"/>
    <n v="3"/>
    <n v="0"/>
    <n v="0"/>
    <n v="0"/>
    <n v="0"/>
    <n v="0"/>
    <n v="3"/>
    <x v="2"/>
    <s v="All"/>
    <n v="0"/>
    <n v="0.39500000000000002"/>
    <n v="1.1850000000000001"/>
    <n v="185.79"/>
    <n v="185.79"/>
    <n v="0"/>
  </r>
  <r>
    <n v="280"/>
    <s v="7220192638RM"/>
    <s v="NB"/>
    <s v="NA"/>
    <x v="7"/>
    <n v="2638"/>
    <s v="P&amp;M - 2nd Half 2019 (FY20)"/>
    <s v="NA"/>
    <x v="13"/>
    <n v="2"/>
    <n v="2"/>
    <n v="0"/>
    <n v="0"/>
    <n v="0"/>
    <n v="0"/>
    <n v="0"/>
    <n v="2"/>
    <x v="3"/>
    <s v="All"/>
    <n v="0"/>
    <n v="0.5"/>
    <n v="1"/>
    <n v="123.86"/>
    <n v="123.86"/>
    <n v="0"/>
  </r>
  <r>
    <n v="281"/>
    <s v="7320192638JM"/>
    <s v="NB"/>
    <s v="NA"/>
    <x v="7"/>
    <n v="2638"/>
    <s v="P&amp;M - 2nd Half 2019 (FY20)"/>
    <s v="NA"/>
    <x v="14"/>
    <n v="3"/>
    <n v="5.25"/>
    <n v="0"/>
    <n v="0"/>
    <n v="0"/>
    <n v="0"/>
    <n v="0"/>
    <n v="5.25"/>
    <x v="2"/>
    <s v="All"/>
    <n v="0"/>
    <n v="0.39500000000000002"/>
    <n v="2.07375"/>
    <n v="325.13249999999999"/>
    <n v="325.13249999999999"/>
    <n v="0"/>
  </r>
  <r>
    <n v="282"/>
    <s v="7320192638RM"/>
    <s v="NB"/>
    <s v="NA"/>
    <x v="7"/>
    <n v="2638"/>
    <s v="P&amp;M - 2nd Half 2019 (FY20)"/>
    <s v="NA"/>
    <x v="14"/>
    <n v="3"/>
    <n v="0"/>
    <n v="0"/>
    <n v="0"/>
    <n v="1"/>
    <n v="0"/>
    <n v="0"/>
    <n v="1"/>
    <x v="3"/>
    <s v="All"/>
    <n v="0"/>
    <n v="0.5"/>
    <n v="0.5"/>
    <n v="61.93"/>
    <n v="61.93"/>
    <n v="0"/>
  </r>
  <r>
    <n v="283"/>
    <s v="7520192638RM"/>
    <s v="NB"/>
    <s v="NA"/>
    <x v="7"/>
    <n v="2638"/>
    <s v="P&amp;M - 2nd Half 2019 (FY20)"/>
    <s v="NA"/>
    <x v="43"/>
    <n v="5"/>
    <n v="0"/>
    <n v="0"/>
    <n v="0"/>
    <n v="2"/>
    <n v="0"/>
    <n v="0"/>
    <n v="2"/>
    <x v="3"/>
    <s v="All"/>
    <n v="0"/>
    <n v="0.5"/>
    <n v="1"/>
    <n v="123.86"/>
    <n v="123.86"/>
    <n v="0"/>
  </r>
  <r>
    <n v="284"/>
    <s v="7620192638JM"/>
    <s v="NB"/>
    <s v="NA"/>
    <x v="7"/>
    <n v="2638"/>
    <s v="P&amp;M - 2nd Half 2019 (FY20)"/>
    <s v="NA"/>
    <x v="49"/>
    <n v="6"/>
    <n v="2"/>
    <n v="0"/>
    <n v="0"/>
    <n v="0"/>
    <n v="0"/>
    <n v="0"/>
    <n v="2"/>
    <x v="2"/>
    <s v="All"/>
    <n v="0"/>
    <n v="0.39500000000000002"/>
    <n v="0.79"/>
    <n v="123.86"/>
    <n v="123.86"/>
    <n v="0"/>
  </r>
  <r>
    <n v="285"/>
    <s v="7820192638RM"/>
    <s v="NB"/>
    <s v="NA"/>
    <x v="7"/>
    <n v="2638"/>
    <s v="P&amp;M - 2nd Half 2019 (FY20)"/>
    <s v="NA"/>
    <x v="15"/>
    <n v="8"/>
    <n v="1"/>
    <n v="0"/>
    <n v="0"/>
    <n v="0"/>
    <n v="0"/>
    <n v="0"/>
    <n v="1"/>
    <x v="3"/>
    <s v="All"/>
    <n v="0"/>
    <n v="0.5"/>
    <n v="0.5"/>
    <n v="61.93"/>
    <n v="61.93"/>
    <n v="0"/>
  </r>
  <r>
    <n v="286"/>
    <s v="7820192638RM"/>
    <s v="NB"/>
    <s v="NA"/>
    <x v="7"/>
    <n v="2638"/>
    <s v="P&amp;M - 2nd Half 2019 (FY20)"/>
    <s v="NA"/>
    <x v="15"/>
    <n v="8"/>
    <n v="0"/>
    <n v="0"/>
    <n v="0"/>
    <n v="3"/>
    <n v="0"/>
    <n v="0"/>
    <n v="3"/>
    <x v="3"/>
    <s v="All"/>
    <n v="0"/>
    <n v="0.5"/>
    <n v="1.5"/>
    <n v="185.79"/>
    <n v="185.79"/>
    <n v="0"/>
  </r>
  <r>
    <n v="287"/>
    <s v="7920192638IE"/>
    <s v="NB"/>
    <s v="NA"/>
    <x v="7"/>
    <n v="2638"/>
    <s v="P&amp;M - 2nd Half 2019 (FY20)"/>
    <s v="NA"/>
    <x v="0"/>
    <n v="9"/>
    <n v="0.75"/>
    <n v="0"/>
    <n v="0"/>
    <n v="0"/>
    <n v="0"/>
    <n v="0"/>
    <n v="0.75"/>
    <x v="0"/>
    <s v="All"/>
    <n v="0"/>
    <n v="1"/>
    <n v="0.75"/>
    <n v="46.447499999999998"/>
    <n v="46.447499999999998"/>
    <n v="0"/>
  </r>
  <r>
    <n v="288"/>
    <s v="7920192638IE"/>
    <s v="NB"/>
    <s v="NA"/>
    <x v="7"/>
    <n v="2638"/>
    <s v="P&amp;M - 2nd Half 2019 (FY20)"/>
    <s v="NA"/>
    <x v="0"/>
    <n v="9"/>
    <n v="0"/>
    <n v="0.5"/>
    <n v="0"/>
    <n v="0"/>
    <n v="0"/>
    <n v="0"/>
    <n v="0.5"/>
    <x v="0"/>
    <s v="All"/>
    <n v="0"/>
    <n v="1"/>
    <n v="0.5"/>
    <n v="30.965"/>
    <n v="30.965"/>
    <n v="0"/>
  </r>
  <r>
    <n v="289"/>
    <s v="7920192638JM"/>
    <s v="NB"/>
    <s v="NA"/>
    <x v="7"/>
    <n v="2638"/>
    <s v="P&amp;M - 2nd Half 2019 (FY20)"/>
    <s v="NA"/>
    <x v="0"/>
    <n v="9"/>
    <n v="0"/>
    <n v="1.5"/>
    <n v="0"/>
    <n v="0"/>
    <n v="0"/>
    <n v="0"/>
    <n v="1.5"/>
    <x v="2"/>
    <s v="All"/>
    <n v="0"/>
    <n v="0.39500000000000002"/>
    <n v="0.59250000000000003"/>
    <n v="92.894999999999996"/>
    <n v="92.894999999999996"/>
    <n v="0"/>
  </r>
  <r>
    <n v="290"/>
    <s v="7920192638JM"/>
    <s v="NB"/>
    <s v="NA"/>
    <x v="7"/>
    <n v="2638"/>
    <s v="P&amp;M - 2nd Half 2019 (FY20)"/>
    <s v="NA"/>
    <x v="0"/>
    <n v="9"/>
    <n v="0"/>
    <n v="3"/>
    <n v="0"/>
    <n v="0"/>
    <n v="0"/>
    <n v="0"/>
    <n v="3"/>
    <x v="2"/>
    <s v="All"/>
    <n v="0"/>
    <n v="0.39500000000000002"/>
    <n v="1.1850000000000001"/>
    <n v="185.79"/>
    <n v="185.79"/>
    <n v="0"/>
  </r>
  <r>
    <n v="291"/>
    <s v="7920192638JM"/>
    <s v="NB"/>
    <s v="NA"/>
    <x v="7"/>
    <n v="2638"/>
    <s v="P&amp;M - 2nd Half 2019 (FY20)"/>
    <s v="NA"/>
    <x v="0"/>
    <n v="9"/>
    <n v="3.5"/>
    <n v="0"/>
    <n v="0"/>
    <n v="0"/>
    <n v="0"/>
    <n v="0"/>
    <n v="3.5"/>
    <x v="2"/>
    <s v="All"/>
    <n v="0"/>
    <n v="0.39500000000000002"/>
    <n v="1.3825000000000001"/>
    <n v="216.755"/>
    <n v="216.755"/>
    <n v="0"/>
  </r>
  <r>
    <n v="292"/>
    <s v="7920192638RM"/>
    <s v="NB"/>
    <s v="NA"/>
    <x v="7"/>
    <n v="2638"/>
    <s v="P&amp;M - 2nd Half 2019 (FY20)"/>
    <s v="NA"/>
    <x v="0"/>
    <n v="9"/>
    <n v="0.5"/>
    <n v="0"/>
    <n v="0"/>
    <n v="0"/>
    <n v="0"/>
    <n v="0"/>
    <n v="0.5"/>
    <x v="3"/>
    <s v="All"/>
    <n v="0"/>
    <n v="0.5"/>
    <n v="0.25"/>
    <n v="30.965"/>
    <n v="30.965"/>
    <n v="0"/>
  </r>
  <r>
    <n v="293"/>
    <s v="7920192638RM"/>
    <s v="NB"/>
    <s v="NA"/>
    <x v="7"/>
    <n v="2638"/>
    <s v="P&amp;M - 2nd Half 2019 (FY20)"/>
    <s v="NA"/>
    <x v="0"/>
    <n v="9"/>
    <n v="0"/>
    <n v="0"/>
    <n v="0"/>
    <n v="5"/>
    <n v="0"/>
    <n v="0"/>
    <n v="5"/>
    <x v="3"/>
    <s v="All"/>
    <n v="0"/>
    <n v="0.5"/>
    <n v="2.5"/>
    <n v="309.64999999999998"/>
    <n v="309.64999999999998"/>
    <n v="0"/>
  </r>
  <r>
    <n v="294"/>
    <s v="71020192638JM"/>
    <s v="NB"/>
    <s v="NA"/>
    <x v="7"/>
    <n v="2638"/>
    <s v="P&amp;M - 2nd Half 2019 (FY20)"/>
    <s v="NA"/>
    <x v="1"/>
    <n v="10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295"/>
    <s v="71020192638JM"/>
    <s v="NB"/>
    <s v="NA"/>
    <x v="7"/>
    <n v="2638"/>
    <s v="P&amp;M - 2nd Half 2019 (FY20)"/>
    <s v="NA"/>
    <x v="1"/>
    <n v="10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296"/>
    <s v="71020192638JM"/>
    <s v="NB"/>
    <s v="NA"/>
    <x v="7"/>
    <n v="2638"/>
    <s v="P&amp;M - 2nd Half 2019 (FY20)"/>
    <s v="NA"/>
    <x v="1"/>
    <n v="10"/>
    <n v="0"/>
    <n v="0.75"/>
    <n v="0"/>
    <n v="0"/>
    <n v="0"/>
    <n v="0"/>
    <n v="0.75"/>
    <x v="2"/>
    <s v="All"/>
    <n v="0"/>
    <n v="0.39500000000000002"/>
    <n v="0.29625000000000001"/>
    <n v="46.447499999999998"/>
    <n v="46.447499999999998"/>
    <n v="0"/>
  </r>
  <r>
    <n v="297"/>
    <s v="71020192638JM"/>
    <s v="NB"/>
    <s v="NA"/>
    <x v="7"/>
    <n v="2638"/>
    <s v="P&amp;M - 2nd Half 2019 (FY20)"/>
    <s v="NA"/>
    <x v="1"/>
    <n v="10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298"/>
    <s v="71020192638JM"/>
    <s v="NB"/>
    <s v="NA"/>
    <x v="7"/>
    <n v="2638"/>
    <s v="P&amp;M - 2nd Half 2019 (FY20)"/>
    <s v="NA"/>
    <x v="1"/>
    <n v="10"/>
    <n v="0"/>
    <n v="0"/>
    <n v="0.25"/>
    <n v="0"/>
    <n v="0"/>
    <n v="0"/>
    <n v="0.25"/>
    <x v="2"/>
    <s v="All"/>
    <n v="0"/>
    <n v="0.39500000000000002"/>
    <n v="9.8750000000000004E-2"/>
    <n v="15.4825"/>
    <n v="15.4825"/>
    <n v="0"/>
  </r>
  <r>
    <n v="299"/>
    <s v="71020192638JM"/>
    <s v="NB"/>
    <s v="NA"/>
    <x v="7"/>
    <n v="2638"/>
    <s v="P&amp;M - 2nd Half 2019 (FY20)"/>
    <s v="NA"/>
    <x v="1"/>
    <n v="10"/>
    <n v="0"/>
    <n v="2.5"/>
    <n v="0"/>
    <n v="0"/>
    <n v="0"/>
    <n v="0"/>
    <n v="2.5"/>
    <x v="2"/>
    <s v="All"/>
    <n v="0"/>
    <n v="0.39500000000000002"/>
    <n v="0.98750000000000004"/>
    <n v="154.82499999999999"/>
    <n v="154.82499999999999"/>
    <n v="0"/>
  </r>
  <r>
    <n v="300"/>
    <s v="71020192638JM"/>
    <s v="NB"/>
    <s v="NA"/>
    <x v="7"/>
    <n v="2638"/>
    <s v="P&amp;M - 2nd Half 2019 (FY20)"/>
    <s v="NA"/>
    <x v="1"/>
    <n v="10"/>
    <n v="2.25"/>
    <n v="0"/>
    <n v="0"/>
    <n v="0"/>
    <n v="0"/>
    <n v="0"/>
    <n v="2.25"/>
    <x v="2"/>
    <s v="All"/>
    <n v="0"/>
    <n v="0.39500000000000002"/>
    <n v="0.88875000000000004"/>
    <n v="139.3425"/>
    <n v="139.3425"/>
    <n v="0"/>
  </r>
  <r>
    <n v="301"/>
    <s v="71020192638RM"/>
    <s v="NB"/>
    <s v="NA"/>
    <x v="7"/>
    <n v="2638"/>
    <s v="P&amp;M - 2nd Half 2019 (FY20)"/>
    <s v="NA"/>
    <x v="1"/>
    <n v="10"/>
    <n v="1.5"/>
    <n v="0"/>
    <n v="0"/>
    <n v="0"/>
    <n v="0"/>
    <n v="0"/>
    <n v="1.5"/>
    <x v="3"/>
    <s v="All"/>
    <n v="0"/>
    <n v="0.5"/>
    <n v="0.75"/>
    <n v="92.894999999999996"/>
    <n v="92.894999999999996"/>
    <n v="0"/>
  </r>
  <r>
    <n v="302"/>
    <s v="71020192638RM"/>
    <s v="NB"/>
    <s v="NA"/>
    <x v="7"/>
    <n v="2638"/>
    <s v="P&amp;M - 2nd Half 2019 (FY20)"/>
    <s v="NA"/>
    <x v="1"/>
    <n v="10"/>
    <n v="0"/>
    <n v="0"/>
    <n v="0"/>
    <n v="4.5"/>
    <n v="0"/>
    <n v="0"/>
    <n v="4.5"/>
    <x v="3"/>
    <s v="All"/>
    <n v="0"/>
    <n v="0.5"/>
    <n v="2.25"/>
    <n v="278.685"/>
    <n v="278.685"/>
    <n v="0"/>
  </r>
  <r>
    <n v="303"/>
    <s v="71120192638JM"/>
    <s v="NB"/>
    <s v="NA"/>
    <x v="7"/>
    <n v="2638"/>
    <s v="P&amp;M - 2nd Half 2019 (FY20)"/>
    <s v="NA"/>
    <x v="2"/>
    <n v="11"/>
    <n v="0"/>
    <n v="0"/>
    <n v="2"/>
    <n v="0"/>
    <n v="0"/>
    <n v="0"/>
    <n v="2"/>
    <x v="2"/>
    <s v="All"/>
    <n v="0"/>
    <n v="0.39500000000000002"/>
    <n v="0.79"/>
    <n v="123.86"/>
    <n v="123.86"/>
    <n v="0"/>
  </r>
  <r>
    <n v="304"/>
    <s v="71120192638JM"/>
    <s v="NB"/>
    <s v="NA"/>
    <x v="7"/>
    <n v="2638"/>
    <s v="P&amp;M - 2nd Half 2019 (FY20)"/>
    <s v="NA"/>
    <x v="2"/>
    <n v="11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05"/>
    <s v="71120192638JM"/>
    <s v="NB"/>
    <s v="NA"/>
    <x v="7"/>
    <n v="2638"/>
    <s v="P&amp;M - 2nd Half 2019 (FY20)"/>
    <s v="NA"/>
    <x v="2"/>
    <n v="11"/>
    <n v="4"/>
    <n v="0"/>
    <n v="0"/>
    <n v="0"/>
    <n v="0"/>
    <n v="0"/>
    <n v="4"/>
    <x v="2"/>
    <s v="All"/>
    <n v="0"/>
    <n v="0.39500000000000002"/>
    <n v="1.58"/>
    <n v="247.72"/>
    <n v="247.72"/>
    <n v="0"/>
  </r>
  <r>
    <n v="306"/>
    <s v="71120192638RM"/>
    <s v="NB"/>
    <s v="NA"/>
    <x v="7"/>
    <n v="2638"/>
    <s v="P&amp;M - 2nd Half 2019 (FY20)"/>
    <s v="NA"/>
    <x v="2"/>
    <n v="11"/>
    <n v="0"/>
    <n v="0"/>
    <n v="0"/>
    <n v="3"/>
    <n v="0"/>
    <n v="0"/>
    <n v="3"/>
    <x v="3"/>
    <s v="All"/>
    <n v="0"/>
    <n v="0.5"/>
    <n v="1.5"/>
    <n v="185.79"/>
    <n v="185.79"/>
    <n v="0"/>
  </r>
  <r>
    <n v="307"/>
    <s v="71220192638IE"/>
    <s v="NB"/>
    <s v="NA"/>
    <x v="7"/>
    <n v="2638"/>
    <s v="P&amp;M - 2nd Half 2019 (FY20)"/>
    <s v="NA"/>
    <x v="3"/>
    <n v="12"/>
    <n v="0.25"/>
    <n v="0"/>
    <n v="0"/>
    <n v="0"/>
    <n v="0"/>
    <n v="0"/>
    <n v="0.25"/>
    <x v="0"/>
    <s v="All"/>
    <n v="0"/>
    <n v="1"/>
    <n v="0.25"/>
    <n v="15.4825"/>
    <n v="15.4825"/>
    <n v="0"/>
  </r>
  <r>
    <n v="308"/>
    <s v="71220192638JM"/>
    <s v="NB"/>
    <s v="NA"/>
    <x v="7"/>
    <n v="2638"/>
    <s v="P&amp;M - 2nd Half 2019 (FY20)"/>
    <s v="NA"/>
    <x v="3"/>
    <n v="12"/>
    <n v="9"/>
    <n v="0"/>
    <n v="0"/>
    <n v="0"/>
    <n v="0"/>
    <n v="0"/>
    <n v="9"/>
    <x v="2"/>
    <s v="All"/>
    <n v="0"/>
    <n v="0.39500000000000002"/>
    <n v="3.5550000000000002"/>
    <n v="557.37"/>
    <n v="557.37"/>
    <n v="0"/>
  </r>
  <r>
    <n v="309"/>
    <s v="71220192638RM"/>
    <s v="NB"/>
    <s v="NA"/>
    <x v="7"/>
    <n v="2638"/>
    <s v="P&amp;M - 2nd Half 2019 (FY20)"/>
    <s v="NA"/>
    <x v="3"/>
    <n v="12"/>
    <n v="0"/>
    <n v="0"/>
    <n v="0"/>
    <n v="1"/>
    <n v="0"/>
    <n v="0"/>
    <n v="1"/>
    <x v="3"/>
    <s v="All"/>
    <n v="0"/>
    <n v="0.5"/>
    <n v="0.5"/>
    <n v="61.93"/>
    <n v="61.93"/>
    <n v="0"/>
  </r>
  <r>
    <n v="310"/>
    <s v="71420192638JM"/>
    <s v="NB"/>
    <s v="NA"/>
    <x v="7"/>
    <n v="2638"/>
    <s v="P&amp;M - 2nd Half 2019 (FY20)"/>
    <s v="NA"/>
    <x v="50"/>
    <n v="14"/>
    <n v="6.5"/>
    <n v="0"/>
    <n v="0"/>
    <n v="0"/>
    <n v="0"/>
    <n v="0"/>
    <n v="6.5"/>
    <x v="2"/>
    <s v="All"/>
    <n v="0"/>
    <n v="0.39500000000000002"/>
    <n v="2.5674999999999999"/>
    <n v="402.54500000000002"/>
    <n v="402.54500000000002"/>
    <n v="0"/>
  </r>
  <r>
    <n v="311"/>
    <s v="71520192638IE"/>
    <s v="NB"/>
    <s v="NA"/>
    <x v="7"/>
    <n v="2638"/>
    <s v="P&amp;M - 2nd Half 2019 (FY20)"/>
    <s v="NA"/>
    <x v="4"/>
    <n v="15"/>
    <n v="0.5"/>
    <n v="0"/>
    <n v="0"/>
    <n v="0"/>
    <n v="0"/>
    <n v="0"/>
    <n v="0.5"/>
    <x v="0"/>
    <s v="All"/>
    <n v="0"/>
    <n v="1"/>
    <n v="0.5"/>
    <n v="30.965"/>
    <n v="30.965"/>
    <n v="0"/>
  </r>
  <r>
    <n v="312"/>
    <s v="71520192638RM"/>
    <s v="NB"/>
    <s v="NA"/>
    <x v="7"/>
    <n v="2638"/>
    <s v="P&amp;M - 2nd Half 2019 (FY20)"/>
    <s v="NA"/>
    <x v="4"/>
    <n v="15"/>
    <n v="0"/>
    <n v="0"/>
    <n v="0"/>
    <n v="2"/>
    <n v="0"/>
    <n v="0"/>
    <n v="2"/>
    <x v="3"/>
    <s v="All"/>
    <n v="0"/>
    <n v="0.5"/>
    <n v="1"/>
    <n v="123.86"/>
    <n v="123.86"/>
    <n v="0"/>
  </r>
  <r>
    <n v="313"/>
    <s v="71520192638RM"/>
    <s v="NB"/>
    <s v="NA"/>
    <x v="7"/>
    <n v="2638"/>
    <s v="P&amp;M - 2nd Half 2019 (FY20)"/>
    <s v="NA"/>
    <x v="4"/>
    <n v="15"/>
    <n v="0.5"/>
    <n v="0"/>
    <n v="0"/>
    <n v="0"/>
    <n v="0"/>
    <n v="0"/>
    <n v="0.5"/>
    <x v="3"/>
    <s v="All"/>
    <n v="0"/>
    <n v="0.5"/>
    <n v="0.25"/>
    <n v="30.965"/>
    <n v="30.965"/>
    <n v="0"/>
  </r>
  <r>
    <n v="314"/>
    <s v="71620192638IE"/>
    <s v="NB"/>
    <s v="NA"/>
    <x v="7"/>
    <n v="2638"/>
    <s v="P&amp;M - 2nd Half 2019 (FY20)"/>
    <s v="NA"/>
    <x v="5"/>
    <n v="16"/>
    <n v="0.25"/>
    <n v="0"/>
    <n v="0"/>
    <n v="0"/>
    <n v="0"/>
    <n v="0"/>
    <n v="0.25"/>
    <x v="0"/>
    <s v="All"/>
    <n v="0"/>
    <n v="1"/>
    <n v="0.25"/>
    <n v="15.4825"/>
    <n v="15.4825"/>
    <n v="0"/>
  </r>
  <r>
    <n v="315"/>
    <s v="71620192638JM"/>
    <s v="NB"/>
    <s v="NA"/>
    <x v="7"/>
    <n v="2638"/>
    <s v="P&amp;M - 2nd Half 2019 (FY20)"/>
    <s v="NA"/>
    <x v="5"/>
    <n v="16"/>
    <n v="8.75"/>
    <n v="0"/>
    <n v="0"/>
    <n v="0"/>
    <n v="0"/>
    <n v="0"/>
    <n v="8.75"/>
    <x v="2"/>
    <s v="All"/>
    <n v="0"/>
    <n v="0.39500000000000002"/>
    <n v="3.4562500000000003"/>
    <n v="541.88750000000005"/>
    <n v="541.88750000000005"/>
    <n v="0"/>
  </r>
  <r>
    <n v="316"/>
    <s v="71620192638RM"/>
    <s v="NB"/>
    <s v="NA"/>
    <x v="7"/>
    <n v="2638"/>
    <s v="P&amp;M - 2nd Half 2019 (FY20)"/>
    <s v="NA"/>
    <x v="5"/>
    <n v="16"/>
    <n v="0.5"/>
    <n v="0"/>
    <n v="0"/>
    <n v="0"/>
    <n v="0"/>
    <n v="0"/>
    <n v="0.5"/>
    <x v="3"/>
    <s v="All"/>
    <n v="0"/>
    <n v="0.5"/>
    <n v="0.25"/>
    <n v="30.965"/>
    <n v="30.965"/>
    <n v="0"/>
  </r>
  <r>
    <n v="317"/>
    <s v="71720192638JM"/>
    <s v="NB"/>
    <s v="NA"/>
    <x v="7"/>
    <n v="2638"/>
    <s v="P&amp;M - 2nd Half 2019 (FY20)"/>
    <s v="NA"/>
    <x v="6"/>
    <n v="17"/>
    <n v="8.25"/>
    <n v="0"/>
    <n v="0"/>
    <n v="0"/>
    <n v="0"/>
    <n v="0"/>
    <n v="8.25"/>
    <x v="2"/>
    <s v="All"/>
    <n v="0"/>
    <n v="0.39500000000000002"/>
    <n v="3.25875"/>
    <n v="510.92250000000001"/>
    <n v="510.92250000000001"/>
    <n v="0"/>
  </r>
  <r>
    <n v="318"/>
    <s v="71720192638RM"/>
    <s v="NB"/>
    <s v="NA"/>
    <x v="7"/>
    <n v="2638"/>
    <s v="P&amp;M - 2nd Half 2019 (FY20)"/>
    <s v="NA"/>
    <x v="6"/>
    <n v="17"/>
    <n v="0.5"/>
    <n v="0"/>
    <n v="0"/>
    <n v="0"/>
    <n v="0"/>
    <n v="0"/>
    <n v="0.5"/>
    <x v="3"/>
    <s v="All"/>
    <n v="0"/>
    <n v="0.5"/>
    <n v="0.25"/>
    <n v="30.965"/>
    <n v="30.965"/>
    <n v="0"/>
  </r>
  <r>
    <n v="319"/>
    <s v="71820192638JM"/>
    <s v="NB"/>
    <s v="NA"/>
    <x v="7"/>
    <n v="2638"/>
    <s v="P&amp;M - 2nd Half 2019 (FY20)"/>
    <s v="NA"/>
    <x v="7"/>
    <n v="18"/>
    <n v="0"/>
    <n v="0"/>
    <n v="2.25"/>
    <n v="0"/>
    <n v="0"/>
    <n v="0"/>
    <n v="2.25"/>
    <x v="2"/>
    <s v="All"/>
    <n v="0"/>
    <n v="0.39500000000000002"/>
    <n v="0.88875000000000004"/>
    <n v="139.3425"/>
    <n v="139.3425"/>
    <n v="0"/>
  </r>
  <r>
    <n v="320"/>
    <s v="71820192638JM"/>
    <s v="NB"/>
    <s v="NA"/>
    <x v="7"/>
    <n v="2638"/>
    <s v="P&amp;M - 2nd Half 2019 (FY20)"/>
    <s v="NA"/>
    <x v="7"/>
    <n v="18"/>
    <n v="5"/>
    <n v="0"/>
    <n v="0"/>
    <n v="0"/>
    <n v="0"/>
    <n v="0"/>
    <n v="5"/>
    <x v="2"/>
    <s v="All"/>
    <n v="0"/>
    <n v="0.39500000000000002"/>
    <n v="1.9750000000000001"/>
    <n v="309.64999999999998"/>
    <n v="309.64999999999998"/>
    <n v="0"/>
  </r>
  <r>
    <n v="321"/>
    <s v="71820192638JPH"/>
    <s v="NB"/>
    <s v="NA"/>
    <x v="7"/>
    <n v="2638"/>
    <s v="P&amp;M - 2nd Half 2019 (FY20)"/>
    <s v="NA"/>
    <x v="7"/>
    <n v="18"/>
    <n v="0"/>
    <n v="0"/>
    <n v="0.75"/>
    <n v="0"/>
    <n v="0"/>
    <n v="0"/>
    <n v="0.75"/>
    <x v="1"/>
    <s v="All"/>
    <n v="0"/>
    <n v="0.53"/>
    <n v="0.39750000000000002"/>
    <n v="46.447499999999998"/>
    <n v="46.447499999999998"/>
    <n v="0"/>
  </r>
  <r>
    <n v="322"/>
    <s v="71820192638RM"/>
    <s v="NB"/>
    <s v="NA"/>
    <x v="7"/>
    <n v="2638"/>
    <s v="P&amp;M - 2nd Half 2019 (FY20)"/>
    <s v="NA"/>
    <x v="7"/>
    <n v="18"/>
    <n v="0.5"/>
    <n v="0"/>
    <n v="0"/>
    <n v="0"/>
    <n v="0"/>
    <n v="0"/>
    <n v="0.5"/>
    <x v="3"/>
    <s v="All"/>
    <n v="0"/>
    <n v="0.5"/>
    <n v="0.25"/>
    <n v="30.965"/>
    <n v="30.965"/>
    <n v="0"/>
  </r>
  <r>
    <n v="323"/>
    <s v="71820192638RM"/>
    <s v="NB"/>
    <s v="NA"/>
    <x v="7"/>
    <n v="2638"/>
    <s v="P&amp;M - 2nd Half 2019 (FY20)"/>
    <s v="NA"/>
    <x v="7"/>
    <n v="18"/>
    <n v="0"/>
    <n v="0"/>
    <n v="0"/>
    <n v="6"/>
    <n v="0"/>
    <n v="0"/>
    <n v="6"/>
    <x v="3"/>
    <s v="All"/>
    <n v="0"/>
    <n v="0.5"/>
    <n v="3"/>
    <n v="371.58"/>
    <n v="371.58"/>
    <n v="0"/>
  </r>
  <r>
    <n v="324"/>
    <s v="71920192638JM"/>
    <s v="NB"/>
    <s v="NA"/>
    <x v="7"/>
    <n v="2638"/>
    <s v="P&amp;M - 2nd Half 2019 (FY20)"/>
    <s v="NA"/>
    <x v="16"/>
    <n v="19"/>
    <n v="0.5"/>
    <n v="0"/>
    <n v="0"/>
    <n v="0"/>
    <n v="0"/>
    <n v="0"/>
    <n v="0.5"/>
    <x v="2"/>
    <s v="All"/>
    <n v="0"/>
    <n v="0.39500000000000002"/>
    <n v="0.19750000000000001"/>
    <n v="30.965"/>
    <n v="30.965"/>
    <n v="0"/>
  </r>
  <r>
    <n v="325"/>
    <s v="71920192638JM"/>
    <s v="NB"/>
    <s v="NA"/>
    <x v="7"/>
    <n v="2638"/>
    <s v="P&amp;M - 2nd Half 2019 (FY20)"/>
    <s v="NA"/>
    <x v="16"/>
    <n v="19"/>
    <n v="0"/>
    <n v="1.5"/>
    <n v="0"/>
    <n v="0"/>
    <n v="0"/>
    <n v="0"/>
    <n v="1.5"/>
    <x v="2"/>
    <s v="All"/>
    <n v="0"/>
    <n v="0.39500000000000002"/>
    <n v="0.59250000000000003"/>
    <n v="92.894999999999996"/>
    <n v="92.894999999999996"/>
    <n v="0"/>
  </r>
  <r>
    <n v="326"/>
    <s v="72220192638IE"/>
    <s v="NB"/>
    <s v="NA"/>
    <x v="7"/>
    <n v="2638"/>
    <s v="P&amp;M - 2nd Half 2019 (FY20)"/>
    <s v="NA"/>
    <x v="8"/>
    <n v="22"/>
    <n v="0"/>
    <n v="0"/>
    <n v="0.5"/>
    <n v="0"/>
    <n v="0"/>
    <n v="0"/>
    <n v="0.5"/>
    <x v="0"/>
    <s v="All"/>
    <n v="0"/>
    <n v="1"/>
    <n v="0.5"/>
    <n v="30.965"/>
    <n v="30.965"/>
    <n v="0"/>
  </r>
  <r>
    <n v="327"/>
    <s v="72220192638RM"/>
    <s v="NB"/>
    <s v="NA"/>
    <x v="7"/>
    <n v="2638"/>
    <s v="P&amp;M - 2nd Half 2019 (FY20)"/>
    <s v="NA"/>
    <x v="8"/>
    <n v="22"/>
    <n v="0.5"/>
    <n v="0"/>
    <n v="0"/>
    <n v="0"/>
    <n v="0"/>
    <n v="0"/>
    <n v="0.5"/>
    <x v="3"/>
    <s v="All"/>
    <n v="0"/>
    <n v="0.5"/>
    <n v="0.25"/>
    <n v="30.965"/>
    <n v="30.965"/>
    <n v="0"/>
  </r>
  <r>
    <n v="328"/>
    <s v="72220192638RM"/>
    <s v="NB"/>
    <s v="NA"/>
    <x v="7"/>
    <n v="2638"/>
    <s v="P&amp;M - 2nd Half 2019 (FY20)"/>
    <s v="NA"/>
    <x v="8"/>
    <n v="22"/>
    <n v="0"/>
    <n v="0"/>
    <n v="0"/>
    <n v="3"/>
    <n v="0"/>
    <n v="0"/>
    <n v="3"/>
    <x v="3"/>
    <s v="All"/>
    <n v="0"/>
    <n v="0.5"/>
    <n v="1.5"/>
    <n v="185.79"/>
    <n v="185.79"/>
    <n v="0"/>
  </r>
  <r>
    <n v="329"/>
    <s v="72320192638JM"/>
    <s v="NB"/>
    <s v="NA"/>
    <x v="7"/>
    <n v="2638"/>
    <s v="P&amp;M - 2nd Half 2019 (FY20)"/>
    <s v="NA"/>
    <x v="9"/>
    <n v="23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30"/>
    <s v="72320192638JM"/>
    <s v="NB"/>
    <s v="NA"/>
    <x v="7"/>
    <n v="2638"/>
    <s v="P&amp;M - 2nd Half 2019 (FY20)"/>
    <s v="NA"/>
    <x v="9"/>
    <n v="23"/>
    <n v="0"/>
    <n v="0"/>
    <n v="1"/>
    <n v="0"/>
    <n v="0"/>
    <n v="0"/>
    <n v="1"/>
    <x v="2"/>
    <s v="All"/>
    <n v="0"/>
    <n v="0.39500000000000002"/>
    <n v="0.39500000000000002"/>
    <n v="61.93"/>
    <n v="61.93"/>
    <n v="0"/>
  </r>
  <r>
    <n v="331"/>
    <s v="72320192638JM"/>
    <s v="NB"/>
    <s v="NA"/>
    <x v="7"/>
    <n v="2638"/>
    <s v="P&amp;M - 2nd Half 2019 (FY20)"/>
    <s v="NA"/>
    <x v="9"/>
    <n v="23"/>
    <n v="6.5"/>
    <n v="0"/>
    <n v="0"/>
    <n v="0"/>
    <n v="0"/>
    <n v="0"/>
    <n v="6.5"/>
    <x v="2"/>
    <s v="All"/>
    <n v="0"/>
    <n v="0.39500000000000002"/>
    <n v="2.5674999999999999"/>
    <n v="402.54500000000002"/>
    <n v="402.54500000000002"/>
    <n v="0"/>
  </r>
  <r>
    <n v="332"/>
    <s v="72320192638JPH"/>
    <s v="NB"/>
    <s v="NA"/>
    <x v="7"/>
    <n v="2638"/>
    <s v="P&amp;M - 2nd Half 2019 (FY20)"/>
    <s v="NA"/>
    <x v="9"/>
    <n v="23"/>
    <n v="0"/>
    <n v="0"/>
    <n v="1"/>
    <n v="0"/>
    <n v="0"/>
    <n v="0"/>
    <n v="1"/>
    <x v="1"/>
    <s v="All"/>
    <n v="0"/>
    <n v="0.53"/>
    <n v="0.53"/>
    <n v="61.93"/>
    <n v="61.93"/>
    <n v="0"/>
  </r>
  <r>
    <n v="333"/>
    <s v="72420192638IE"/>
    <s v="NB"/>
    <s v="NA"/>
    <x v="7"/>
    <n v="2638"/>
    <s v="P&amp;M - 2nd Half 2019 (FY20)"/>
    <s v="NA"/>
    <x v="10"/>
    <n v="24"/>
    <n v="0"/>
    <n v="0"/>
    <n v="0.25"/>
    <n v="0"/>
    <n v="0"/>
    <n v="0"/>
    <n v="0.25"/>
    <x v="0"/>
    <s v="All"/>
    <n v="0"/>
    <n v="1"/>
    <n v="0.25"/>
    <n v="15.4825"/>
    <n v="15.4825"/>
    <n v="0"/>
  </r>
  <r>
    <n v="334"/>
    <s v="72420192638IE"/>
    <s v="NB"/>
    <s v="NA"/>
    <x v="7"/>
    <n v="2638"/>
    <s v="P&amp;M - 2nd Half 2019 (FY20)"/>
    <s v="NA"/>
    <x v="10"/>
    <n v="24"/>
    <n v="0"/>
    <n v="0"/>
    <n v="0.25"/>
    <n v="0"/>
    <n v="0"/>
    <n v="0"/>
    <n v="0.25"/>
    <x v="0"/>
    <s v="All"/>
    <n v="0"/>
    <n v="1"/>
    <n v="0.25"/>
    <n v="15.4825"/>
    <n v="15.4825"/>
    <n v="0"/>
  </r>
  <r>
    <n v="335"/>
    <s v="72420192638JM"/>
    <s v="NB"/>
    <s v="NA"/>
    <x v="7"/>
    <n v="2638"/>
    <s v="P&amp;M - 2nd Half 2019 (FY20)"/>
    <s v="NA"/>
    <x v="10"/>
    <n v="24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336"/>
    <s v="72420192638JM"/>
    <s v="NB"/>
    <s v="NA"/>
    <x v="7"/>
    <n v="2638"/>
    <s v="P&amp;M - 2nd Half 2019 (FY20)"/>
    <s v="NA"/>
    <x v="10"/>
    <n v="24"/>
    <n v="2.25"/>
    <n v="0"/>
    <n v="0"/>
    <n v="0"/>
    <n v="0"/>
    <n v="0"/>
    <n v="2.25"/>
    <x v="2"/>
    <s v="All"/>
    <n v="0"/>
    <n v="0.39500000000000002"/>
    <n v="0.88875000000000004"/>
    <n v="139.3425"/>
    <n v="139.3425"/>
    <n v="0"/>
  </r>
  <r>
    <n v="337"/>
    <s v="72420192638JPH"/>
    <s v="NB"/>
    <s v="NA"/>
    <x v="7"/>
    <n v="2638"/>
    <s v="P&amp;M - 2nd Half 2019 (FY20)"/>
    <s v="NA"/>
    <x v="10"/>
    <n v="24"/>
    <n v="0"/>
    <n v="0.5"/>
    <n v="0"/>
    <n v="0"/>
    <n v="0"/>
    <n v="0"/>
    <n v="0.5"/>
    <x v="1"/>
    <s v="All"/>
    <n v="0"/>
    <n v="0.53"/>
    <n v="0.26500000000000001"/>
    <n v="30.965"/>
    <n v="30.965"/>
    <n v="0"/>
  </r>
  <r>
    <n v="338"/>
    <s v="72420192638RM"/>
    <s v="NB"/>
    <s v="NA"/>
    <x v="7"/>
    <n v="2638"/>
    <s v="P&amp;M - 2nd Half 2019 (FY20)"/>
    <s v="NA"/>
    <x v="10"/>
    <n v="24"/>
    <n v="0.5"/>
    <n v="0"/>
    <n v="0"/>
    <n v="0"/>
    <n v="0"/>
    <n v="0"/>
    <n v="0.5"/>
    <x v="3"/>
    <s v="All"/>
    <n v="0"/>
    <n v="0.5"/>
    <n v="0.25"/>
    <n v="30.965"/>
    <n v="30.965"/>
    <n v="0"/>
  </r>
  <r>
    <n v="339"/>
    <s v="72420192638RM"/>
    <s v="NB"/>
    <s v="NA"/>
    <x v="7"/>
    <n v="2638"/>
    <s v="P&amp;M - 2nd Half 2019 (FY20)"/>
    <s v="NA"/>
    <x v="10"/>
    <n v="24"/>
    <n v="0"/>
    <n v="0"/>
    <n v="0"/>
    <n v="0.5"/>
    <n v="0"/>
    <n v="0"/>
    <n v="0.5"/>
    <x v="3"/>
    <s v="All"/>
    <n v="0"/>
    <n v="0.5"/>
    <n v="0.25"/>
    <n v="30.965"/>
    <n v="30.965"/>
    <n v="0"/>
  </r>
  <r>
    <n v="340"/>
    <s v="72520192638JM"/>
    <s v="NB"/>
    <s v="NA"/>
    <x v="7"/>
    <n v="2638"/>
    <s v="P&amp;M - 2nd Half 2019 (FY20)"/>
    <s v="NA"/>
    <x v="11"/>
    <n v="25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341"/>
    <s v="72520192638JM"/>
    <s v="NB"/>
    <s v="NA"/>
    <x v="7"/>
    <n v="2638"/>
    <s v="P&amp;M - 2nd Half 2019 (FY20)"/>
    <s v="NA"/>
    <x v="11"/>
    <n v="25"/>
    <n v="5.25"/>
    <n v="0"/>
    <n v="0"/>
    <n v="0"/>
    <n v="0"/>
    <n v="0"/>
    <n v="5.25"/>
    <x v="2"/>
    <s v="All"/>
    <n v="0"/>
    <n v="0.39500000000000002"/>
    <n v="2.07375"/>
    <n v="325.13249999999999"/>
    <n v="325.13249999999999"/>
    <n v="0"/>
  </r>
  <r>
    <n v="342"/>
    <s v="72520192638RM"/>
    <s v="NB"/>
    <s v="NA"/>
    <x v="7"/>
    <n v="2638"/>
    <s v="P&amp;M - 2nd Half 2019 (FY20)"/>
    <s v="NA"/>
    <x v="11"/>
    <n v="25"/>
    <n v="0"/>
    <n v="0"/>
    <n v="0"/>
    <n v="2"/>
    <n v="0"/>
    <n v="0"/>
    <n v="2"/>
    <x v="3"/>
    <s v="All"/>
    <n v="0"/>
    <n v="0.5"/>
    <n v="1"/>
    <n v="123.86"/>
    <n v="123.86"/>
    <n v="0"/>
  </r>
  <r>
    <n v="343"/>
    <s v="72920192638RM"/>
    <s v="NB"/>
    <s v="NA"/>
    <x v="7"/>
    <n v="2638"/>
    <s v="P&amp;M - 2nd Half 2019 (FY20)"/>
    <s v="NA"/>
    <x v="18"/>
    <n v="29"/>
    <n v="0.5"/>
    <n v="0"/>
    <n v="0"/>
    <n v="0"/>
    <n v="0"/>
    <n v="0"/>
    <n v="0.5"/>
    <x v="3"/>
    <s v="All"/>
    <n v="0"/>
    <n v="0.5"/>
    <n v="0.25"/>
    <n v="30.965"/>
    <n v="30.965"/>
    <n v="0"/>
  </r>
  <r>
    <n v="344"/>
    <s v="73020192638JM"/>
    <s v="NB"/>
    <s v="NA"/>
    <x v="7"/>
    <n v="2638"/>
    <s v="P&amp;M - 2nd Half 2019 (FY20)"/>
    <s v="NA"/>
    <x v="19"/>
    <n v="30"/>
    <n v="0"/>
    <n v="0"/>
    <n v="0.25"/>
    <n v="0"/>
    <n v="0"/>
    <n v="0"/>
    <n v="0.25"/>
    <x v="2"/>
    <s v="All"/>
    <n v="0"/>
    <n v="0.39500000000000002"/>
    <n v="9.8750000000000004E-2"/>
    <n v="15.4825"/>
    <n v="15.4825"/>
    <n v="0"/>
  </r>
  <r>
    <n v="345"/>
    <s v="73020192638JM"/>
    <s v="NB"/>
    <s v="NA"/>
    <x v="7"/>
    <n v="2638"/>
    <s v="P&amp;M - 2nd Half 2019 (FY20)"/>
    <s v="NA"/>
    <x v="19"/>
    <n v="30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346"/>
    <s v="73020192638JM"/>
    <s v="NB"/>
    <s v="NA"/>
    <x v="7"/>
    <n v="2638"/>
    <s v="P&amp;M - 2nd Half 2019 (FY20)"/>
    <s v="NA"/>
    <x v="19"/>
    <n v="30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47"/>
    <s v="73020192638JM"/>
    <s v="NB"/>
    <s v="NA"/>
    <x v="7"/>
    <n v="2638"/>
    <s v="P&amp;M - 2nd Half 2019 (FY20)"/>
    <s v="NA"/>
    <x v="19"/>
    <n v="30"/>
    <n v="0"/>
    <n v="0.5"/>
    <n v="0"/>
    <n v="0"/>
    <n v="0"/>
    <n v="0"/>
    <n v="0.5"/>
    <x v="2"/>
    <s v="All"/>
    <n v="0"/>
    <n v="0.39500000000000002"/>
    <n v="0.19750000000000001"/>
    <n v="30.965"/>
    <n v="30.965"/>
    <n v="0"/>
  </r>
  <r>
    <n v="348"/>
    <s v="73020192638JM"/>
    <s v="NB"/>
    <s v="NA"/>
    <x v="7"/>
    <n v="2638"/>
    <s v="P&amp;M - 2nd Half 2019 (FY20)"/>
    <s v="NA"/>
    <x v="19"/>
    <n v="30"/>
    <n v="0"/>
    <n v="2.25"/>
    <n v="0"/>
    <n v="0"/>
    <n v="0"/>
    <n v="0"/>
    <n v="2.25"/>
    <x v="2"/>
    <s v="All"/>
    <n v="0"/>
    <n v="0.39500000000000002"/>
    <n v="0.88875000000000004"/>
    <n v="139.3425"/>
    <n v="139.3425"/>
    <n v="0"/>
  </r>
  <r>
    <n v="349"/>
    <s v="73020192638JM"/>
    <s v="NB"/>
    <s v="NA"/>
    <x v="7"/>
    <n v="2638"/>
    <s v="P&amp;M - 2nd Half 2019 (FY20)"/>
    <s v="NA"/>
    <x v="19"/>
    <n v="30"/>
    <n v="1.25"/>
    <n v="0"/>
    <n v="0"/>
    <n v="0"/>
    <n v="0"/>
    <n v="0"/>
    <n v="1.25"/>
    <x v="2"/>
    <s v="All"/>
    <n v="0"/>
    <n v="0.39500000000000002"/>
    <n v="0.49375000000000002"/>
    <n v="77.412499999999994"/>
    <n v="77.412499999999994"/>
    <n v="0"/>
  </r>
  <r>
    <n v="350"/>
    <s v="73020192638JPH"/>
    <s v="NB"/>
    <s v="NA"/>
    <x v="7"/>
    <n v="2638"/>
    <s v="P&amp;M - 2nd Half 2019 (FY20)"/>
    <s v="NA"/>
    <x v="19"/>
    <n v="30"/>
    <n v="0"/>
    <n v="1"/>
    <n v="0"/>
    <n v="0"/>
    <n v="0"/>
    <n v="0"/>
    <n v="1"/>
    <x v="1"/>
    <s v="All"/>
    <n v="0"/>
    <n v="0.53"/>
    <n v="0.53"/>
    <n v="61.93"/>
    <n v="61.93"/>
    <n v="0"/>
  </r>
  <r>
    <n v="351"/>
    <s v="73020192638RM"/>
    <s v="NB"/>
    <s v="NA"/>
    <x v="7"/>
    <n v="2638"/>
    <s v="P&amp;M - 2nd Half 2019 (FY20)"/>
    <s v="NA"/>
    <x v="19"/>
    <n v="30"/>
    <n v="1.5"/>
    <n v="0"/>
    <n v="0"/>
    <n v="0"/>
    <n v="0"/>
    <n v="0"/>
    <n v="1.5"/>
    <x v="3"/>
    <s v="All"/>
    <n v="0"/>
    <n v="0.5"/>
    <n v="0.75"/>
    <n v="92.894999999999996"/>
    <n v="92.894999999999996"/>
    <n v="0"/>
  </r>
  <r>
    <n v="352"/>
    <s v="73120192638JM"/>
    <s v="NB"/>
    <s v="NA"/>
    <x v="7"/>
    <n v="2638"/>
    <s v="P&amp;M - 2nd Half 2019 (FY20)"/>
    <s v="NA"/>
    <x v="20"/>
    <n v="31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53"/>
    <s v="73120192638JM"/>
    <s v="NB"/>
    <s v="NA"/>
    <x v="7"/>
    <n v="2638"/>
    <s v="P&amp;M - 2nd Half 2019 (FY20)"/>
    <s v="NA"/>
    <x v="20"/>
    <n v="31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54"/>
    <s v="73120192638JM"/>
    <s v="NB"/>
    <s v="NA"/>
    <x v="7"/>
    <n v="2638"/>
    <s v="P&amp;M - 2nd Half 2019 (FY20)"/>
    <s v="NA"/>
    <x v="20"/>
    <n v="31"/>
    <n v="0"/>
    <n v="0"/>
    <n v="1.25"/>
    <n v="0"/>
    <n v="0"/>
    <n v="0"/>
    <n v="1.25"/>
    <x v="2"/>
    <s v="All"/>
    <n v="0"/>
    <n v="0.39500000000000002"/>
    <n v="0.49375000000000002"/>
    <n v="77.412499999999994"/>
    <n v="77.412499999999994"/>
    <n v="0"/>
  </r>
  <r>
    <n v="355"/>
    <s v="73120192638JM"/>
    <s v="NB"/>
    <s v="NA"/>
    <x v="7"/>
    <n v="2638"/>
    <s v="P&amp;M - 2nd Half 2019 (FY20)"/>
    <s v="NA"/>
    <x v="20"/>
    <n v="31"/>
    <n v="7"/>
    <n v="0"/>
    <n v="0"/>
    <n v="0"/>
    <n v="0"/>
    <n v="0"/>
    <n v="7"/>
    <x v="2"/>
    <s v="All"/>
    <n v="0"/>
    <n v="0.39500000000000002"/>
    <n v="2.7650000000000001"/>
    <n v="433.51"/>
    <n v="433.51"/>
    <n v="0"/>
  </r>
  <r>
    <n v="356"/>
    <s v="73120192638JPH"/>
    <s v="NB"/>
    <s v="NA"/>
    <x v="7"/>
    <n v="2638"/>
    <s v="P&amp;M - 2nd Half 2019 (FY20)"/>
    <s v="NA"/>
    <x v="20"/>
    <n v="31"/>
    <n v="0"/>
    <n v="1"/>
    <n v="0"/>
    <n v="0"/>
    <n v="0"/>
    <n v="0"/>
    <n v="1"/>
    <x v="1"/>
    <s v="All"/>
    <n v="0"/>
    <n v="0.53"/>
    <n v="0.53"/>
    <n v="61.93"/>
    <n v="61.93"/>
    <n v="0"/>
  </r>
  <r>
    <n v="357"/>
    <s v="73120192638RM"/>
    <s v="NB"/>
    <s v="NA"/>
    <x v="7"/>
    <n v="2638"/>
    <s v="P&amp;M - 2nd Half 2019 (FY20)"/>
    <s v="NA"/>
    <x v="20"/>
    <n v="31"/>
    <n v="0"/>
    <n v="0"/>
    <n v="0"/>
    <n v="4.5"/>
    <n v="0"/>
    <n v="0"/>
    <n v="4.5"/>
    <x v="3"/>
    <s v="All"/>
    <n v="0"/>
    <n v="0.5"/>
    <n v="2.25"/>
    <n v="278.685"/>
    <n v="278.685"/>
    <n v="0"/>
  </r>
  <r>
    <n v="358"/>
    <s v="8120192638JM"/>
    <s v="NB"/>
    <s v="NA"/>
    <x v="7"/>
    <n v="2638"/>
    <s v="P&amp;M - 2nd Half 2019 (FY20)"/>
    <s v="NA"/>
    <x v="21"/>
    <n v="1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59"/>
    <s v="8120192638JM"/>
    <s v="NB"/>
    <s v="NA"/>
    <x v="7"/>
    <n v="2638"/>
    <s v="P&amp;M - 2nd Half 2019 (FY20)"/>
    <s v="NA"/>
    <x v="21"/>
    <n v="1"/>
    <n v="0"/>
    <n v="2.5"/>
    <n v="0"/>
    <n v="0"/>
    <n v="0"/>
    <n v="0"/>
    <n v="2.5"/>
    <x v="2"/>
    <s v="All"/>
    <n v="0"/>
    <n v="0.39500000000000002"/>
    <n v="0.98750000000000004"/>
    <n v="154.82499999999999"/>
    <n v="154.82499999999999"/>
    <n v="0"/>
  </r>
  <r>
    <n v="360"/>
    <s v="8120192638JM"/>
    <s v="NB"/>
    <s v="NA"/>
    <x v="7"/>
    <n v="2638"/>
    <s v="P&amp;M - 2nd Half 2019 (FY20)"/>
    <s v="NA"/>
    <x v="21"/>
    <n v="1"/>
    <n v="0"/>
    <n v="0"/>
    <n v="0.75"/>
    <n v="0"/>
    <n v="0"/>
    <n v="0"/>
    <n v="0.75"/>
    <x v="2"/>
    <s v="All"/>
    <n v="0"/>
    <n v="0.39500000000000002"/>
    <n v="0.29625000000000001"/>
    <n v="46.447499999999998"/>
    <n v="46.447499999999998"/>
    <n v="0"/>
  </r>
  <r>
    <n v="361"/>
    <s v="8120192638JM"/>
    <s v="NB"/>
    <s v="NA"/>
    <x v="7"/>
    <n v="2638"/>
    <s v="P&amp;M - 2nd Half 2019 (FY20)"/>
    <s v="NA"/>
    <x v="21"/>
    <n v="1"/>
    <n v="1.5"/>
    <n v="0"/>
    <n v="0"/>
    <n v="0"/>
    <n v="0"/>
    <n v="0"/>
    <n v="1.5"/>
    <x v="2"/>
    <s v="All"/>
    <n v="0"/>
    <n v="0.39500000000000002"/>
    <n v="0.59250000000000003"/>
    <n v="92.894999999999996"/>
    <n v="92.894999999999996"/>
    <n v="0"/>
  </r>
  <r>
    <n v="362"/>
    <s v="8120192638RM"/>
    <s v="NB"/>
    <s v="NA"/>
    <x v="7"/>
    <n v="2638"/>
    <s v="P&amp;M - 2nd Half 2019 (FY20)"/>
    <s v="NA"/>
    <x v="21"/>
    <n v="1"/>
    <n v="0.5"/>
    <n v="0"/>
    <n v="0"/>
    <n v="0"/>
    <n v="0"/>
    <n v="0"/>
    <n v="0.5"/>
    <x v="3"/>
    <s v="All"/>
    <n v="0"/>
    <n v="0.5"/>
    <n v="0.25"/>
    <n v="30.965"/>
    <n v="30.965"/>
    <n v="0"/>
  </r>
  <r>
    <n v="363"/>
    <s v="8220192638JM"/>
    <s v="NB"/>
    <s v="NA"/>
    <x v="7"/>
    <n v="2638"/>
    <s v="P&amp;M - 2nd Half 2019 (FY20)"/>
    <s v="NA"/>
    <x v="22"/>
    <n v="2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364"/>
    <s v="8220192638JM"/>
    <s v="NB"/>
    <s v="NA"/>
    <x v="7"/>
    <n v="2638"/>
    <s v="P&amp;M - 2nd Half 2019 (FY20)"/>
    <s v="NA"/>
    <x v="22"/>
    <n v="2"/>
    <n v="0"/>
    <n v="0.75"/>
    <n v="0"/>
    <n v="0"/>
    <n v="0"/>
    <n v="0"/>
    <n v="0.75"/>
    <x v="2"/>
    <s v="All"/>
    <n v="0"/>
    <n v="0.39500000000000002"/>
    <n v="0.29625000000000001"/>
    <n v="46.447499999999998"/>
    <n v="46.447499999999998"/>
    <n v="0"/>
  </r>
  <r>
    <n v="365"/>
    <s v="8220192638JM"/>
    <s v="NB"/>
    <s v="NA"/>
    <x v="7"/>
    <n v="2638"/>
    <s v="P&amp;M - 2nd Half 2019 (FY20)"/>
    <s v="NA"/>
    <x v="22"/>
    <n v="2"/>
    <n v="0"/>
    <n v="0.75"/>
    <n v="0"/>
    <n v="0"/>
    <n v="0"/>
    <n v="0"/>
    <n v="0.75"/>
    <x v="2"/>
    <s v="All"/>
    <n v="0"/>
    <n v="0.39500000000000002"/>
    <n v="0.29625000000000001"/>
    <n v="46.447499999999998"/>
    <n v="46.447499999999998"/>
    <n v="0"/>
  </r>
  <r>
    <n v="366"/>
    <s v="8220192638JM"/>
    <s v="NB"/>
    <s v="NA"/>
    <x v="7"/>
    <n v="2638"/>
    <s v="P&amp;M - 2nd Half 2019 (FY20)"/>
    <s v="NA"/>
    <x v="22"/>
    <n v="2"/>
    <n v="0"/>
    <n v="0.5"/>
    <n v="0"/>
    <n v="0"/>
    <n v="0"/>
    <n v="0"/>
    <n v="0.5"/>
    <x v="2"/>
    <s v="All"/>
    <n v="0"/>
    <n v="0.39500000000000002"/>
    <n v="0.19750000000000001"/>
    <n v="30.965"/>
    <n v="30.965"/>
    <n v="0"/>
  </r>
  <r>
    <n v="367"/>
    <s v="8520192638IE"/>
    <s v="NB"/>
    <s v="NA"/>
    <x v="7"/>
    <n v="2638"/>
    <s v="P&amp;M - 2nd Half 2019 (FY20)"/>
    <s v="NA"/>
    <x v="23"/>
    <n v="5"/>
    <n v="0.5"/>
    <n v="0"/>
    <n v="0"/>
    <n v="0"/>
    <n v="0"/>
    <n v="0"/>
    <n v="0.5"/>
    <x v="0"/>
    <s v="All"/>
    <n v="0"/>
    <n v="1"/>
    <n v="0.5"/>
    <n v="30.965"/>
    <n v="30.965"/>
    <n v="0"/>
  </r>
  <r>
    <n v="368"/>
    <s v="8520192638IE"/>
    <s v="NB"/>
    <s v="NA"/>
    <x v="7"/>
    <n v="2638"/>
    <s v="P&amp;M - 2nd Half 2019 (FY20)"/>
    <s v="NA"/>
    <x v="23"/>
    <n v="5"/>
    <n v="0"/>
    <n v="1"/>
    <n v="0"/>
    <n v="0"/>
    <n v="0"/>
    <n v="0"/>
    <n v="1"/>
    <x v="0"/>
    <s v="All"/>
    <n v="0"/>
    <n v="1"/>
    <n v="1"/>
    <n v="61.93"/>
    <n v="61.93"/>
    <n v="0"/>
  </r>
  <r>
    <n v="369"/>
    <s v="8520192638JM"/>
    <s v="NB"/>
    <s v="NA"/>
    <x v="7"/>
    <n v="2638"/>
    <s v="P&amp;M - 2nd Half 2019 (FY20)"/>
    <s v="NA"/>
    <x v="23"/>
    <n v="5"/>
    <n v="1"/>
    <n v="0"/>
    <n v="0"/>
    <n v="0"/>
    <n v="0"/>
    <n v="0"/>
    <n v="1"/>
    <x v="2"/>
    <s v="All"/>
    <n v="0"/>
    <n v="0.39500000000000002"/>
    <n v="0.39500000000000002"/>
    <n v="61.93"/>
    <n v="61.93"/>
    <n v="0"/>
  </r>
  <r>
    <n v="370"/>
    <s v="8520192638RM"/>
    <s v="NB"/>
    <s v="NA"/>
    <x v="7"/>
    <n v="2638"/>
    <s v="P&amp;M - 2nd Half 2019 (FY20)"/>
    <s v="NA"/>
    <x v="23"/>
    <n v="5"/>
    <n v="0.25"/>
    <n v="0"/>
    <n v="0"/>
    <n v="0"/>
    <n v="0"/>
    <n v="0"/>
    <n v="0.25"/>
    <x v="3"/>
    <s v="All"/>
    <n v="0"/>
    <n v="0.5"/>
    <n v="0.125"/>
    <n v="15.4825"/>
    <n v="15.4825"/>
    <n v="0"/>
  </r>
  <r>
    <n v="371"/>
    <s v="8520192638RM"/>
    <s v="NB"/>
    <s v="NA"/>
    <x v="7"/>
    <n v="2638"/>
    <s v="P&amp;M - 2nd Half 2019 (FY20)"/>
    <s v="NA"/>
    <x v="23"/>
    <n v="5"/>
    <n v="0"/>
    <n v="0"/>
    <n v="0"/>
    <n v="1"/>
    <n v="0"/>
    <n v="0"/>
    <n v="1"/>
    <x v="3"/>
    <s v="All"/>
    <n v="0"/>
    <n v="0.5"/>
    <n v="0.5"/>
    <n v="61.93"/>
    <n v="61.93"/>
    <n v="0"/>
  </r>
  <r>
    <n v="372"/>
    <s v="8620192638JM"/>
    <s v="NB"/>
    <s v="NA"/>
    <x v="7"/>
    <n v="2638"/>
    <s v="P&amp;M - 2nd Half 2019 (FY20)"/>
    <s v="NA"/>
    <x v="24"/>
    <n v="6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73"/>
    <s v="8620192638JM"/>
    <s v="NB"/>
    <s v="NA"/>
    <x v="7"/>
    <n v="2638"/>
    <s v="P&amp;M - 2nd Half 2019 (FY20)"/>
    <s v="NA"/>
    <x v="24"/>
    <n v="6"/>
    <n v="0"/>
    <n v="0"/>
    <n v="5.5"/>
    <n v="0"/>
    <n v="0"/>
    <n v="0"/>
    <n v="5.5"/>
    <x v="2"/>
    <s v="All"/>
    <n v="0"/>
    <n v="0.39500000000000002"/>
    <n v="2.1725000000000003"/>
    <n v="340.61500000000001"/>
    <n v="340.61500000000001"/>
    <n v="0"/>
  </r>
  <r>
    <n v="374"/>
    <s v="8620192638RM"/>
    <s v="NB"/>
    <s v="NA"/>
    <x v="7"/>
    <n v="2638"/>
    <s v="P&amp;M - 2nd Half 2019 (FY20)"/>
    <s v="NA"/>
    <x v="24"/>
    <n v="6"/>
    <n v="0.5"/>
    <n v="0"/>
    <n v="0"/>
    <n v="0"/>
    <n v="0"/>
    <n v="0"/>
    <n v="0.5"/>
    <x v="3"/>
    <s v="All"/>
    <n v="0"/>
    <n v="0.5"/>
    <n v="0.25"/>
    <n v="30.965"/>
    <n v="30.965"/>
    <n v="0"/>
  </r>
  <r>
    <n v="375"/>
    <s v="8620192638RM"/>
    <s v="NB"/>
    <s v="NA"/>
    <x v="7"/>
    <n v="2638"/>
    <s v="P&amp;M - 2nd Half 2019 (FY20)"/>
    <s v="NA"/>
    <x v="24"/>
    <n v="6"/>
    <n v="0"/>
    <n v="0"/>
    <n v="0"/>
    <n v="1"/>
    <n v="0"/>
    <n v="0"/>
    <n v="1"/>
    <x v="3"/>
    <s v="All"/>
    <n v="0"/>
    <n v="0.5"/>
    <n v="0.5"/>
    <n v="61.93"/>
    <n v="61.93"/>
    <n v="0"/>
  </r>
  <r>
    <n v="376"/>
    <s v="8720192638IE"/>
    <s v="NB"/>
    <s v="NA"/>
    <x v="7"/>
    <n v="2638"/>
    <s v="P&amp;M - 2nd Half 2019 (FY20)"/>
    <s v="NA"/>
    <x v="25"/>
    <n v="7"/>
    <n v="0.25"/>
    <n v="0"/>
    <n v="0"/>
    <n v="0"/>
    <n v="0"/>
    <n v="0"/>
    <n v="0.25"/>
    <x v="0"/>
    <s v="All"/>
    <n v="0"/>
    <n v="1"/>
    <n v="0.25"/>
    <n v="15.4825"/>
    <n v="15.4825"/>
    <n v="0"/>
  </r>
  <r>
    <n v="377"/>
    <s v="8720192638IE"/>
    <s v="NB"/>
    <s v="NA"/>
    <x v="7"/>
    <n v="2638"/>
    <s v="P&amp;M - 2nd Half 2019 (FY20)"/>
    <s v="NA"/>
    <x v="25"/>
    <n v="7"/>
    <n v="0"/>
    <n v="0.25"/>
    <n v="0"/>
    <n v="0"/>
    <n v="0"/>
    <n v="0"/>
    <n v="0.25"/>
    <x v="0"/>
    <s v="All"/>
    <n v="0"/>
    <n v="1"/>
    <n v="0.25"/>
    <n v="15.4825"/>
    <n v="15.4825"/>
    <n v="0"/>
  </r>
  <r>
    <n v="378"/>
    <s v="8720192638JM"/>
    <s v="NB"/>
    <s v="NA"/>
    <x v="7"/>
    <n v="2638"/>
    <s v="P&amp;M - 2nd Half 2019 (FY20)"/>
    <s v="NA"/>
    <x v="25"/>
    <n v="7"/>
    <n v="0"/>
    <n v="0"/>
    <n v="2.25"/>
    <n v="0"/>
    <n v="0"/>
    <n v="0"/>
    <n v="2.25"/>
    <x v="2"/>
    <s v="All"/>
    <n v="0"/>
    <n v="0.39500000000000002"/>
    <n v="0.88875000000000004"/>
    <n v="139.3425"/>
    <n v="139.3425"/>
    <n v="0"/>
  </r>
  <r>
    <n v="379"/>
    <s v="8720192638JM"/>
    <s v="NB"/>
    <s v="NA"/>
    <x v="7"/>
    <n v="2638"/>
    <s v="P&amp;M - 2nd Half 2019 (FY20)"/>
    <s v="NA"/>
    <x v="25"/>
    <n v="7"/>
    <n v="3"/>
    <n v="0"/>
    <n v="0"/>
    <n v="0"/>
    <n v="0"/>
    <n v="0"/>
    <n v="3"/>
    <x v="2"/>
    <s v="All"/>
    <n v="0"/>
    <n v="0.39500000000000002"/>
    <n v="1.1850000000000001"/>
    <n v="185.79"/>
    <n v="185.79"/>
    <n v="0"/>
  </r>
  <r>
    <n v="380"/>
    <s v="8720192638RM"/>
    <s v="NB"/>
    <s v="NA"/>
    <x v="7"/>
    <n v="2638"/>
    <s v="P&amp;M - 2nd Half 2019 (FY20)"/>
    <s v="NA"/>
    <x v="25"/>
    <n v="7"/>
    <n v="0.5"/>
    <n v="0"/>
    <n v="0"/>
    <n v="0"/>
    <n v="0"/>
    <n v="0"/>
    <n v="0.5"/>
    <x v="3"/>
    <s v="All"/>
    <n v="0"/>
    <n v="0.5"/>
    <n v="0.25"/>
    <n v="30.965"/>
    <n v="30.965"/>
    <n v="0"/>
  </r>
  <r>
    <n v="381"/>
    <s v="8820192638IE"/>
    <s v="NB"/>
    <s v="NA"/>
    <x v="7"/>
    <n v="2638"/>
    <s v="P&amp;M - 2nd Half 2019 (FY20)"/>
    <s v="NA"/>
    <x v="26"/>
    <n v="8"/>
    <n v="0"/>
    <n v="0.5"/>
    <n v="0"/>
    <n v="0"/>
    <n v="0"/>
    <n v="0"/>
    <n v="0.5"/>
    <x v="0"/>
    <s v="All"/>
    <n v="0"/>
    <n v="1"/>
    <n v="0.5"/>
    <n v="30.965"/>
    <n v="30.965"/>
    <n v="0"/>
  </r>
  <r>
    <n v="382"/>
    <s v="8820192638JM"/>
    <s v="NB"/>
    <s v="NA"/>
    <x v="7"/>
    <n v="2638"/>
    <s v="P&amp;M - 2nd Half 2019 (FY20)"/>
    <s v="NA"/>
    <x v="26"/>
    <n v="8"/>
    <n v="0"/>
    <n v="0"/>
    <n v="1"/>
    <n v="0"/>
    <n v="0"/>
    <n v="0"/>
    <n v="1"/>
    <x v="2"/>
    <s v="All"/>
    <n v="0"/>
    <n v="0.39500000000000002"/>
    <n v="0.39500000000000002"/>
    <n v="61.93"/>
    <n v="61.93"/>
    <n v="0"/>
  </r>
  <r>
    <n v="383"/>
    <s v="8820192638JM"/>
    <s v="NB"/>
    <s v="NA"/>
    <x v="7"/>
    <n v="2638"/>
    <s v="P&amp;M - 2nd Half 2019 (FY20)"/>
    <s v="NA"/>
    <x v="26"/>
    <n v="8"/>
    <n v="0"/>
    <n v="0.5"/>
    <n v="0"/>
    <n v="0"/>
    <n v="0"/>
    <n v="0"/>
    <n v="0.5"/>
    <x v="2"/>
    <s v="All"/>
    <n v="0"/>
    <n v="0.39500000000000002"/>
    <n v="0.19750000000000001"/>
    <n v="30.965"/>
    <n v="30.965"/>
    <n v="0"/>
  </r>
  <r>
    <n v="384"/>
    <s v="8820192638JM"/>
    <s v="NB"/>
    <s v="NA"/>
    <x v="7"/>
    <n v="2638"/>
    <s v="P&amp;M - 2nd Half 2019 (FY20)"/>
    <s v="NA"/>
    <x v="26"/>
    <n v="8"/>
    <n v="2.5"/>
    <n v="0"/>
    <n v="0"/>
    <n v="0"/>
    <n v="0"/>
    <n v="0"/>
    <n v="2.5"/>
    <x v="2"/>
    <s v="All"/>
    <n v="0"/>
    <n v="0.39500000000000002"/>
    <n v="0.98750000000000004"/>
    <n v="154.82499999999999"/>
    <n v="154.82499999999999"/>
    <n v="0"/>
  </r>
  <r>
    <n v="385"/>
    <s v="8820192638RM"/>
    <s v="NB"/>
    <s v="NA"/>
    <x v="7"/>
    <n v="2638"/>
    <s v="P&amp;M - 2nd Half 2019 (FY20)"/>
    <s v="NA"/>
    <x v="26"/>
    <n v="8"/>
    <n v="0.5"/>
    <n v="0"/>
    <n v="0"/>
    <n v="0"/>
    <n v="0"/>
    <n v="0"/>
    <n v="0.5"/>
    <x v="3"/>
    <s v="All"/>
    <n v="0"/>
    <n v="0.5"/>
    <n v="0.25"/>
    <n v="30.965"/>
    <n v="30.965"/>
    <n v="0"/>
  </r>
  <r>
    <n v="386"/>
    <s v="8920192638JM"/>
    <s v="NB"/>
    <s v="NA"/>
    <x v="7"/>
    <n v="2638"/>
    <s v="P&amp;M - 2nd Half 2019 (FY20)"/>
    <s v="NA"/>
    <x v="31"/>
    <n v="9"/>
    <n v="0"/>
    <n v="0"/>
    <n v="1.25"/>
    <n v="0"/>
    <n v="0"/>
    <n v="0"/>
    <n v="1.25"/>
    <x v="2"/>
    <s v="All"/>
    <n v="0"/>
    <n v="0.39500000000000002"/>
    <n v="0.49375000000000002"/>
    <n v="77.412499999999994"/>
    <n v="77.412499999999994"/>
    <n v="0"/>
  </r>
  <r>
    <n v="387"/>
    <s v="8920192638JM"/>
    <s v="NB"/>
    <s v="NA"/>
    <x v="7"/>
    <n v="2638"/>
    <s v="P&amp;M - 2nd Half 2019 (FY20)"/>
    <s v="NA"/>
    <x v="31"/>
    <n v="9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388"/>
    <s v="8920192638JM"/>
    <s v="NB"/>
    <s v="NA"/>
    <x v="7"/>
    <n v="2638"/>
    <s v="P&amp;M - 2nd Half 2019 (FY20)"/>
    <s v="NA"/>
    <x v="31"/>
    <n v="9"/>
    <n v="2.5"/>
    <n v="0"/>
    <n v="0"/>
    <n v="0"/>
    <n v="0"/>
    <n v="0"/>
    <n v="2.5"/>
    <x v="2"/>
    <s v="All"/>
    <n v="0"/>
    <n v="0.39500000000000002"/>
    <n v="0.98750000000000004"/>
    <n v="154.82499999999999"/>
    <n v="154.82499999999999"/>
    <n v="0"/>
  </r>
  <r>
    <n v="389"/>
    <s v="8920192638JPH"/>
    <s v="NB"/>
    <s v="NA"/>
    <x v="7"/>
    <n v="2638"/>
    <s v="P&amp;M - 2nd Half 2019 (FY20)"/>
    <s v="NA"/>
    <x v="31"/>
    <n v="9"/>
    <n v="0"/>
    <n v="0"/>
    <n v="4.25"/>
    <n v="0"/>
    <n v="0"/>
    <n v="0"/>
    <n v="4.25"/>
    <x v="1"/>
    <s v="All"/>
    <n v="0"/>
    <n v="0.53"/>
    <n v="2.2524999999999999"/>
    <n v="263.20249999999999"/>
    <n v="263.20249999999999"/>
    <n v="0"/>
  </r>
  <r>
    <n v="390"/>
    <s v="81220192638JM"/>
    <s v="NB"/>
    <s v="NA"/>
    <x v="7"/>
    <n v="2638"/>
    <s v="P&amp;M - 2nd Half 2019 (FY20)"/>
    <s v="NA"/>
    <x v="27"/>
    <n v="12"/>
    <n v="0.75"/>
    <n v="0"/>
    <n v="0"/>
    <n v="0"/>
    <n v="0"/>
    <n v="0"/>
    <n v="0.75"/>
    <x v="2"/>
    <s v="All"/>
    <n v="0"/>
    <n v="0.39500000000000002"/>
    <n v="0.29625000000000001"/>
    <n v="46.447499999999998"/>
    <n v="46.447499999999998"/>
    <n v="0"/>
  </r>
  <r>
    <n v="391"/>
    <s v="81220192638JPH"/>
    <s v="NB"/>
    <s v="NA"/>
    <x v="7"/>
    <n v="2638"/>
    <s v="P&amp;M - 2nd Half 2019 (FY20)"/>
    <s v="NA"/>
    <x v="27"/>
    <n v="12"/>
    <n v="0"/>
    <n v="3.25"/>
    <n v="0"/>
    <n v="0"/>
    <n v="0"/>
    <n v="0"/>
    <n v="3.25"/>
    <x v="1"/>
    <s v="All"/>
    <n v="0"/>
    <n v="0.53"/>
    <n v="1.7225000000000001"/>
    <n v="201.27250000000001"/>
    <n v="201.27250000000001"/>
    <n v="0"/>
  </r>
  <r>
    <n v="392"/>
    <s v="81220192638JPH"/>
    <s v="NB"/>
    <s v="NA"/>
    <x v="7"/>
    <n v="2638"/>
    <s v="P&amp;M - 2nd Half 2019 (FY20)"/>
    <s v="NA"/>
    <x v="27"/>
    <n v="12"/>
    <n v="0"/>
    <n v="0"/>
    <n v="1"/>
    <n v="0"/>
    <n v="0"/>
    <n v="0"/>
    <n v="1"/>
    <x v="1"/>
    <s v="All"/>
    <n v="0"/>
    <n v="0.53"/>
    <n v="0.53"/>
    <n v="61.93"/>
    <n v="61.93"/>
    <n v="0"/>
  </r>
  <r>
    <n v="393"/>
    <s v="81320192638IE"/>
    <s v="NB"/>
    <s v="NA"/>
    <x v="7"/>
    <n v="2638"/>
    <s v="P&amp;M - 2nd Half 2019 (FY20)"/>
    <s v="NA"/>
    <x v="28"/>
    <n v="13"/>
    <n v="0"/>
    <n v="0"/>
    <n v="0.5"/>
    <n v="0"/>
    <n v="0"/>
    <n v="0"/>
    <n v="0.5"/>
    <x v="0"/>
    <s v="All"/>
    <n v="0"/>
    <n v="1"/>
    <n v="0.5"/>
    <n v="30.965"/>
    <n v="30.965"/>
    <n v="0"/>
  </r>
  <r>
    <n v="394"/>
    <s v="81320192638JM"/>
    <s v="NB"/>
    <s v="NA"/>
    <x v="7"/>
    <n v="2638"/>
    <s v="P&amp;M - 2nd Half 2019 (FY20)"/>
    <s v="NA"/>
    <x v="28"/>
    <n v="13"/>
    <n v="3.75"/>
    <n v="0"/>
    <n v="0"/>
    <n v="0"/>
    <n v="0"/>
    <n v="0"/>
    <n v="3.75"/>
    <x v="2"/>
    <s v="All"/>
    <n v="0"/>
    <n v="0.39500000000000002"/>
    <n v="1.4812500000000002"/>
    <n v="232.23750000000001"/>
    <n v="232.23750000000001"/>
    <n v="0"/>
  </r>
  <r>
    <n v="395"/>
    <s v="81320192638JM"/>
    <s v="NB"/>
    <s v="NA"/>
    <x v="7"/>
    <n v="2638"/>
    <s v="P&amp;M - 2nd Half 2019 (FY20)"/>
    <s v="NA"/>
    <x v="28"/>
    <n v="13"/>
    <n v="0"/>
    <n v="0"/>
    <n v="4.75"/>
    <n v="0"/>
    <n v="0"/>
    <n v="0"/>
    <n v="4.75"/>
    <x v="2"/>
    <s v="All"/>
    <n v="0"/>
    <n v="0.39500000000000002"/>
    <n v="1.8762500000000002"/>
    <n v="294.16750000000002"/>
    <n v="294.16750000000002"/>
    <n v="0"/>
  </r>
  <r>
    <n v="396"/>
    <s v="81320192638JPH"/>
    <s v="NB"/>
    <s v="NA"/>
    <x v="7"/>
    <n v="2638"/>
    <s v="P&amp;M - 2nd Half 2019 (FY20)"/>
    <s v="NA"/>
    <x v="28"/>
    <n v="13"/>
    <n v="0"/>
    <n v="0"/>
    <n v="1.5"/>
    <n v="0"/>
    <n v="0"/>
    <n v="0"/>
    <n v="1.5"/>
    <x v="1"/>
    <s v="All"/>
    <n v="0"/>
    <n v="0.53"/>
    <n v="0.79500000000000004"/>
    <n v="92.894999999999996"/>
    <n v="92.894999999999996"/>
    <n v="0"/>
  </r>
  <r>
    <n v="397"/>
    <s v="81420192638IE"/>
    <s v="NB"/>
    <s v="NA"/>
    <x v="7"/>
    <n v="2638"/>
    <s v="P&amp;M - 2nd Half 2019 (FY20)"/>
    <s v="NA"/>
    <x v="29"/>
    <n v="14"/>
    <n v="0.25"/>
    <n v="0"/>
    <n v="0"/>
    <n v="0"/>
    <n v="0"/>
    <n v="0"/>
    <n v="0.25"/>
    <x v="0"/>
    <s v="All"/>
    <n v="0"/>
    <n v="1"/>
    <n v="0.25"/>
    <n v="15.4825"/>
    <n v="15.4825"/>
    <n v="0"/>
  </r>
  <r>
    <n v="398"/>
    <s v="81420192638JM"/>
    <s v="NB"/>
    <s v="NA"/>
    <x v="7"/>
    <n v="2638"/>
    <s v="P&amp;M - 2nd Half 2019 (FY20)"/>
    <s v="NA"/>
    <x v="29"/>
    <n v="14"/>
    <n v="0"/>
    <n v="0"/>
    <n v="3"/>
    <n v="0"/>
    <n v="0"/>
    <n v="0"/>
    <n v="3"/>
    <x v="2"/>
    <s v="All"/>
    <n v="0"/>
    <n v="0.39500000000000002"/>
    <n v="1.1850000000000001"/>
    <n v="185.79"/>
    <n v="185.79"/>
    <n v="0"/>
  </r>
  <r>
    <n v="399"/>
    <s v="81420192638JM"/>
    <s v="NB"/>
    <s v="NA"/>
    <x v="7"/>
    <n v="2638"/>
    <s v="P&amp;M - 2nd Half 2019 (FY20)"/>
    <s v="NA"/>
    <x v="29"/>
    <n v="14"/>
    <n v="3.5"/>
    <n v="0"/>
    <n v="0"/>
    <n v="0"/>
    <n v="0"/>
    <n v="0"/>
    <n v="3.5"/>
    <x v="2"/>
    <s v="All"/>
    <n v="0"/>
    <n v="0.39500000000000002"/>
    <n v="1.3825000000000001"/>
    <n v="216.755"/>
    <n v="216.755"/>
    <n v="0"/>
  </r>
  <r>
    <n v="400"/>
    <s v="81520192638IE"/>
    <s v="NB"/>
    <s v="NA"/>
    <x v="7"/>
    <n v="2638"/>
    <s v="P&amp;M - 2nd Half 2019 (FY20)"/>
    <s v="NA"/>
    <x v="30"/>
    <n v="15"/>
    <n v="1.5"/>
    <n v="0"/>
    <n v="0"/>
    <n v="0"/>
    <n v="0"/>
    <n v="0"/>
    <n v="1.5"/>
    <x v="0"/>
    <s v="All"/>
    <n v="0"/>
    <n v="1"/>
    <n v="1.5"/>
    <n v="92.894999999999996"/>
    <n v="92.894999999999996"/>
    <n v="0"/>
  </r>
  <r>
    <n v="401"/>
    <s v="81520192638JM"/>
    <s v="NB"/>
    <s v="NA"/>
    <x v="7"/>
    <n v="2638"/>
    <s v="P&amp;M - 2nd Half 2019 (FY20)"/>
    <s v="NA"/>
    <x v="30"/>
    <n v="15"/>
    <n v="2"/>
    <n v="0"/>
    <n v="0"/>
    <n v="0"/>
    <n v="0"/>
    <n v="0"/>
    <n v="2"/>
    <x v="2"/>
    <s v="All"/>
    <n v="0"/>
    <n v="0.39500000000000002"/>
    <n v="0.79"/>
    <n v="123.86"/>
    <n v="123.86"/>
    <n v="0"/>
  </r>
  <r>
    <n v="402"/>
    <s v="81520192638JM"/>
    <s v="NB"/>
    <s v="NA"/>
    <x v="7"/>
    <n v="2638"/>
    <s v="P&amp;M - 2nd Half 2019 (FY20)"/>
    <s v="NA"/>
    <x v="30"/>
    <n v="15"/>
    <n v="0"/>
    <n v="0"/>
    <n v="1.5"/>
    <n v="0"/>
    <n v="0"/>
    <n v="0"/>
    <n v="1.5"/>
    <x v="2"/>
    <s v="All"/>
    <n v="0"/>
    <n v="0.39500000000000002"/>
    <n v="0.59250000000000003"/>
    <n v="92.894999999999996"/>
    <n v="92.894999999999996"/>
    <n v="0"/>
  </r>
  <r>
    <n v="403"/>
    <s v="81520192638RM"/>
    <s v="NB"/>
    <s v="NA"/>
    <x v="7"/>
    <n v="2638"/>
    <s v="P&amp;M - 2nd Half 2019 (FY20)"/>
    <s v="NA"/>
    <x v="30"/>
    <n v="15"/>
    <n v="0"/>
    <n v="0"/>
    <n v="0"/>
    <n v="0.5"/>
    <n v="0"/>
    <n v="0"/>
    <n v="0.5"/>
    <x v="3"/>
    <s v="All"/>
    <n v="0"/>
    <n v="0.5"/>
    <n v="0.25"/>
    <n v="30.965"/>
    <n v="30.965"/>
    <n v="0"/>
  </r>
  <r>
    <n v="404"/>
    <s v="81520192638RM"/>
    <s v="NB"/>
    <s v="NA"/>
    <x v="7"/>
    <n v="2638"/>
    <s v="P&amp;M - 2nd Half 2019 (FY20)"/>
    <s v="NA"/>
    <x v="30"/>
    <n v="15"/>
    <n v="0"/>
    <n v="0"/>
    <n v="0"/>
    <n v="0.5"/>
    <n v="0"/>
    <n v="0"/>
    <n v="0.5"/>
    <x v="3"/>
    <s v="All"/>
    <n v="0"/>
    <n v="0.5"/>
    <n v="0.25"/>
    <n v="30.965"/>
    <n v="30.965"/>
    <n v="0"/>
  </r>
  <r>
    <n v="405"/>
    <s v="81620192638JM"/>
    <s v="NB"/>
    <s v="NA"/>
    <x v="7"/>
    <n v="2638"/>
    <s v="P&amp;M - 2nd Half 2019 (FY20)"/>
    <s v="NA"/>
    <x v="36"/>
    <n v="16"/>
    <n v="0"/>
    <n v="0"/>
    <n v="2"/>
    <n v="0"/>
    <n v="0"/>
    <n v="0"/>
    <n v="2"/>
    <x v="2"/>
    <s v="All"/>
    <n v="0"/>
    <n v="0.39500000000000002"/>
    <n v="0.79"/>
    <n v="123.86"/>
    <n v="123.86"/>
    <n v="0"/>
  </r>
  <r>
    <n v="406"/>
    <s v="81920192638JM"/>
    <s v="NB"/>
    <s v="NA"/>
    <x v="7"/>
    <n v="2638"/>
    <s v="P&amp;M - 2nd Half 2019 (FY20)"/>
    <s v="NA"/>
    <x v="44"/>
    <n v="19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07"/>
    <s v="81920192638JM"/>
    <s v="NB"/>
    <s v="NA"/>
    <x v="7"/>
    <n v="2638"/>
    <s v="P&amp;M - 2nd Half 2019 (FY20)"/>
    <s v="NA"/>
    <x v="44"/>
    <n v="19"/>
    <n v="1"/>
    <n v="0"/>
    <n v="0"/>
    <n v="0"/>
    <n v="0"/>
    <n v="0"/>
    <n v="1"/>
    <x v="2"/>
    <s v="All"/>
    <n v="0"/>
    <n v="0.39500000000000002"/>
    <n v="0.39500000000000002"/>
    <n v="61.93"/>
    <n v="61.93"/>
    <n v="0"/>
  </r>
  <r>
    <n v="408"/>
    <s v="81920192638JPH"/>
    <s v="NB"/>
    <s v="NA"/>
    <x v="7"/>
    <n v="2638"/>
    <s v="P&amp;M - 2nd Half 2019 (FY20)"/>
    <s v="NA"/>
    <x v="44"/>
    <n v="19"/>
    <n v="0"/>
    <n v="0"/>
    <n v="2"/>
    <n v="0"/>
    <n v="0"/>
    <n v="0"/>
    <n v="2"/>
    <x v="1"/>
    <s v="All"/>
    <n v="0"/>
    <n v="0.53"/>
    <n v="1.06"/>
    <n v="123.86"/>
    <n v="123.86"/>
    <n v="0"/>
  </r>
  <r>
    <n v="409"/>
    <s v="81920192638RM"/>
    <s v="NB"/>
    <s v="NA"/>
    <x v="7"/>
    <n v="2638"/>
    <s v="P&amp;M - 2nd Half 2019 (FY20)"/>
    <s v="NA"/>
    <x v="44"/>
    <n v="19"/>
    <n v="2"/>
    <n v="0"/>
    <n v="0"/>
    <n v="0"/>
    <n v="0"/>
    <n v="0"/>
    <n v="2"/>
    <x v="3"/>
    <s v="All"/>
    <n v="0"/>
    <n v="0.5"/>
    <n v="1"/>
    <n v="123.86"/>
    <n v="123.86"/>
    <n v="0"/>
  </r>
  <r>
    <n v="410"/>
    <s v="81920192638RM"/>
    <s v="NB"/>
    <s v="NA"/>
    <x v="7"/>
    <n v="2638"/>
    <s v="P&amp;M - 2nd Half 2019 (FY20)"/>
    <s v="NA"/>
    <x v="44"/>
    <n v="19"/>
    <n v="0"/>
    <n v="0"/>
    <n v="0"/>
    <n v="3"/>
    <n v="0"/>
    <n v="0"/>
    <n v="3"/>
    <x v="3"/>
    <s v="All"/>
    <n v="0"/>
    <n v="0.5"/>
    <n v="1.5"/>
    <n v="185.79"/>
    <n v="185.79"/>
    <n v="0"/>
  </r>
  <r>
    <n v="411"/>
    <s v="82020192638IE"/>
    <s v="NB"/>
    <s v="NA"/>
    <x v="7"/>
    <n v="2638"/>
    <s v="P&amp;M - 2nd Half 2019 (FY20)"/>
    <s v="NA"/>
    <x v="32"/>
    <n v="20"/>
    <n v="3"/>
    <n v="0"/>
    <n v="0"/>
    <n v="0"/>
    <n v="0"/>
    <n v="0"/>
    <n v="3"/>
    <x v="0"/>
    <s v="All"/>
    <n v="0"/>
    <n v="1"/>
    <n v="3"/>
    <n v="185.79"/>
    <n v="185.79"/>
    <n v="0"/>
  </r>
  <r>
    <n v="412"/>
    <s v="82020192638JM"/>
    <s v="NB"/>
    <s v="NA"/>
    <x v="7"/>
    <n v="2638"/>
    <s v="P&amp;M - 2nd Half 2019 (FY20)"/>
    <s v="NA"/>
    <x v="32"/>
    <n v="20"/>
    <n v="3.75"/>
    <n v="0"/>
    <n v="0"/>
    <n v="0"/>
    <n v="0"/>
    <n v="0"/>
    <n v="3.75"/>
    <x v="2"/>
    <s v="All"/>
    <n v="0"/>
    <n v="0.39500000000000002"/>
    <n v="1.4812500000000002"/>
    <n v="232.23750000000001"/>
    <n v="232.23750000000001"/>
    <n v="0"/>
  </r>
  <r>
    <n v="413"/>
    <s v="82020192638JPH"/>
    <s v="NB"/>
    <s v="NA"/>
    <x v="7"/>
    <n v="2638"/>
    <s v="P&amp;M - 2nd Half 2019 (FY20)"/>
    <s v="NA"/>
    <x v="32"/>
    <n v="20"/>
    <n v="0"/>
    <n v="1.25"/>
    <n v="0"/>
    <n v="0"/>
    <n v="0"/>
    <n v="0"/>
    <n v="1.25"/>
    <x v="1"/>
    <s v="All"/>
    <n v="0"/>
    <n v="0.53"/>
    <n v="0.66250000000000009"/>
    <n v="77.412499999999994"/>
    <n v="77.412499999999994"/>
    <n v="0"/>
  </r>
  <r>
    <n v="414"/>
    <s v="82020192638RM"/>
    <s v="NB"/>
    <s v="NA"/>
    <x v="7"/>
    <n v="2638"/>
    <s v="P&amp;M - 2nd Half 2019 (FY20)"/>
    <s v="NA"/>
    <x v="32"/>
    <n v="20"/>
    <n v="1.5"/>
    <n v="0"/>
    <n v="0"/>
    <n v="0"/>
    <n v="0"/>
    <n v="0"/>
    <n v="1.5"/>
    <x v="3"/>
    <s v="All"/>
    <n v="0"/>
    <n v="0.5"/>
    <n v="0.75"/>
    <n v="92.894999999999996"/>
    <n v="92.894999999999996"/>
    <n v="0"/>
  </r>
  <r>
    <n v="415"/>
    <s v="82120192638IE"/>
    <s v="NB"/>
    <s v="NA"/>
    <x v="7"/>
    <n v="2638"/>
    <s v="P&amp;M - 2nd Half 2019 (FY20)"/>
    <s v="NA"/>
    <x v="33"/>
    <n v="21"/>
    <n v="1"/>
    <n v="0"/>
    <n v="0"/>
    <n v="0"/>
    <n v="0"/>
    <n v="0"/>
    <n v="1"/>
    <x v="0"/>
    <s v="All"/>
    <n v="0"/>
    <n v="1"/>
    <n v="1"/>
    <n v="61.93"/>
    <n v="61.93"/>
    <n v="0"/>
  </r>
  <r>
    <n v="416"/>
    <s v="82120192638JM"/>
    <s v="NB"/>
    <s v="NA"/>
    <x v="7"/>
    <n v="2638"/>
    <s v="P&amp;M - 2nd Half 2019 (FY20)"/>
    <s v="NA"/>
    <x v="33"/>
    <n v="21"/>
    <n v="0"/>
    <n v="0.5"/>
    <n v="0"/>
    <n v="0"/>
    <n v="0"/>
    <n v="0"/>
    <n v="0.5"/>
    <x v="2"/>
    <s v="All"/>
    <n v="0"/>
    <n v="0.39500000000000002"/>
    <n v="0.19750000000000001"/>
    <n v="30.965"/>
    <n v="30.965"/>
    <n v="0"/>
  </r>
  <r>
    <n v="417"/>
    <s v="82120192638JM"/>
    <s v="NB"/>
    <s v="NA"/>
    <x v="7"/>
    <n v="2638"/>
    <s v="P&amp;M - 2nd Half 2019 (FY20)"/>
    <s v="NA"/>
    <x v="33"/>
    <n v="21"/>
    <n v="2.5"/>
    <n v="0"/>
    <n v="0"/>
    <n v="0"/>
    <n v="0"/>
    <n v="0"/>
    <n v="2.5"/>
    <x v="2"/>
    <s v="All"/>
    <n v="0"/>
    <n v="0.39500000000000002"/>
    <n v="0.98750000000000004"/>
    <n v="154.82499999999999"/>
    <n v="154.82499999999999"/>
    <n v="0"/>
  </r>
  <r>
    <n v="418"/>
    <s v="82220192638JM"/>
    <s v="NB"/>
    <s v="NA"/>
    <x v="7"/>
    <n v="2638"/>
    <s v="P&amp;M - 2nd Half 2019 (FY20)"/>
    <s v="NA"/>
    <x v="34"/>
    <n v="22"/>
    <n v="0.5"/>
    <n v="0"/>
    <n v="0"/>
    <n v="0"/>
    <n v="0"/>
    <n v="0"/>
    <n v="0.5"/>
    <x v="2"/>
    <s v="All"/>
    <n v="0"/>
    <n v="0.39500000000000002"/>
    <n v="0.19750000000000001"/>
    <n v="30.965"/>
    <n v="30.965"/>
    <n v="0"/>
  </r>
  <r>
    <n v="419"/>
    <s v="82220192638JM"/>
    <s v="NB"/>
    <s v="NA"/>
    <x v="7"/>
    <n v="2638"/>
    <s v="P&amp;M - 2nd Half 2019 (FY20)"/>
    <s v="NA"/>
    <x v="34"/>
    <n v="22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20"/>
    <s v="82220192638RM"/>
    <s v="NB"/>
    <s v="NA"/>
    <x v="7"/>
    <n v="2638"/>
    <s v="P&amp;M - 2nd Half 2019 (FY20)"/>
    <s v="NA"/>
    <x v="34"/>
    <n v="22"/>
    <n v="0.5"/>
    <n v="0"/>
    <n v="0"/>
    <n v="0"/>
    <n v="0"/>
    <n v="0"/>
    <n v="0.5"/>
    <x v="3"/>
    <s v="All"/>
    <n v="0"/>
    <n v="0.5"/>
    <n v="0.25"/>
    <n v="30.965"/>
    <n v="30.965"/>
    <n v="0"/>
  </r>
  <r>
    <n v="421"/>
    <s v="82320192638JM"/>
    <s v="NB"/>
    <s v="NA"/>
    <x v="7"/>
    <n v="2638"/>
    <s v="P&amp;M - 2nd Half 2019 (FY20)"/>
    <s v="NA"/>
    <x v="35"/>
    <n v="23"/>
    <n v="0"/>
    <n v="1.25"/>
    <n v="0"/>
    <n v="0"/>
    <n v="0"/>
    <n v="0"/>
    <n v="1.25"/>
    <x v="2"/>
    <s v="All"/>
    <n v="0"/>
    <n v="0.39500000000000002"/>
    <n v="0.49375000000000002"/>
    <n v="77.412499999999994"/>
    <n v="77.412499999999994"/>
    <n v="0"/>
  </r>
  <r>
    <n v="422"/>
    <s v="82320192638JM"/>
    <s v="NB"/>
    <s v="NA"/>
    <x v="7"/>
    <n v="2638"/>
    <s v="P&amp;M - 2nd Half 2019 (FY20)"/>
    <s v="NA"/>
    <x v="35"/>
    <n v="23"/>
    <n v="3.5"/>
    <n v="0"/>
    <n v="0"/>
    <n v="0"/>
    <n v="0"/>
    <n v="0"/>
    <n v="3.5"/>
    <x v="2"/>
    <s v="All"/>
    <n v="0"/>
    <n v="0.39500000000000002"/>
    <n v="1.3825000000000001"/>
    <n v="216.755"/>
    <n v="216.755"/>
    <n v="0"/>
  </r>
  <r>
    <n v="423"/>
    <s v="82320192638JM"/>
    <s v="NB"/>
    <s v="NA"/>
    <x v="7"/>
    <n v="2638"/>
    <s v="P&amp;M - 2nd Half 2019 (FY20)"/>
    <s v="NA"/>
    <x v="35"/>
    <n v="23"/>
    <n v="0"/>
    <n v="0"/>
    <n v="3"/>
    <n v="0"/>
    <n v="0"/>
    <n v="0"/>
    <n v="3"/>
    <x v="2"/>
    <s v="All"/>
    <n v="0"/>
    <n v="0.39500000000000002"/>
    <n v="1.1850000000000001"/>
    <n v="185.79"/>
    <n v="185.79"/>
    <n v="0"/>
  </r>
  <r>
    <n v="424"/>
    <s v="82520192638JM"/>
    <s v="NB"/>
    <s v="NA"/>
    <x v="7"/>
    <n v="2638"/>
    <s v="P&amp;M - 2nd Half 2019 (FY20)"/>
    <s v="NA"/>
    <x v="39"/>
    <n v="25"/>
    <n v="0.25"/>
    <n v="0"/>
    <n v="0"/>
    <n v="0"/>
    <n v="0"/>
    <n v="0"/>
    <n v="0.25"/>
    <x v="2"/>
    <s v="All"/>
    <n v="0"/>
    <n v="0.39500000000000002"/>
    <n v="9.8750000000000004E-2"/>
    <n v="15.4825"/>
    <n v="15.4825"/>
    <n v="0"/>
  </r>
  <r>
    <n v="425"/>
    <s v="82620192638RM"/>
    <s v="NB"/>
    <s v="NA"/>
    <x v="7"/>
    <n v="2638"/>
    <s v="P&amp;M - 2nd Half 2019 (FY20)"/>
    <s v="NA"/>
    <x v="37"/>
    <n v="26"/>
    <n v="0"/>
    <n v="0"/>
    <n v="0"/>
    <n v="2.5"/>
    <n v="0"/>
    <n v="0"/>
    <n v="2.5"/>
    <x v="3"/>
    <s v="All"/>
    <n v="0"/>
    <n v="0.5"/>
    <n v="1.25"/>
    <n v="154.82499999999999"/>
    <n v="154.82499999999999"/>
    <n v="0"/>
  </r>
  <r>
    <n v="426"/>
    <s v="82720192638JM"/>
    <s v="NB"/>
    <s v="NA"/>
    <x v="7"/>
    <n v="2638"/>
    <s v="P&amp;M - 2nd Half 2019 (FY20)"/>
    <s v="NA"/>
    <x v="38"/>
    <n v="27"/>
    <n v="5"/>
    <n v="0"/>
    <n v="0"/>
    <n v="0"/>
    <n v="0"/>
    <n v="0"/>
    <n v="5"/>
    <x v="2"/>
    <s v="All"/>
    <n v="0"/>
    <n v="0.39500000000000002"/>
    <n v="1.9750000000000001"/>
    <n v="309.64999999999998"/>
    <n v="309.64999999999998"/>
    <n v="0"/>
  </r>
  <r>
    <n v="427"/>
    <s v="82720192638JPH"/>
    <s v="NB"/>
    <s v="NA"/>
    <x v="7"/>
    <n v="2638"/>
    <s v="P&amp;M - 2nd Half 2019 (FY20)"/>
    <s v="NA"/>
    <x v="38"/>
    <n v="27"/>
    <n v="0"/>
    <n v="1"/>
    <n v="0"/>
    <n v="0"/>
    <n v="0"/>
    <n v="0"/>
    <n v="1"/>
    <x v="1"/>
    <s v="All"/>
    <n v="0"/>
    <n v="0.53"/>
    <n v="0.53"/>
    <n v="61.93"/>
    <n v="61.93"/>
    <n v="0"/>
  </r>
  <r>
    <n v="428"/>
    <s v="82820192638JM"/>
    <s v="NB"/>
    <s v="NA"/>
    <x v="7"/>
    <n v="2638"/>
    <s v="P&amp;M - 2nd Half 2019 (FY20)"/>
    <s v="NA"/>
    <x v="40"/>
    <n v="28"/>
    <n v="0"/>
    <n v="0.5"/>
    <n v="0"/>
    <n v="0"/>
    <n v="0"/>
    <n v="0"/>
    <n v="0.5"/>
    <x v="2"/>
    <s v="All"/>
    <n v="0"/>
    <n v="0.39500000000000002"/>
    <n v="0.19750000000000001"/>
    <n v="30.965"/>
    <n v="30.965"/>
    <n v="0"/>
  </r>
  <r>
    <n v="429"/>
    <s v="82820192638JM"/>
    <s v="NB"/>
    <s v="NA"/>
    <x v="7"/>
    <n v="2638"/>
    <s v="P&amp;M - 2nd Half 2019 (FY20)"/>
    <s v="NA"/>
    <x v="40"/>
    <n v="28"/>
    <n v="4.5"/>
    <n v="0"/>
    <n v="0"/>
    <n v="0"/>
    <n v="0"/>
    <n v="0"/>
    <n v="4.5"/>
    <x v="2"/>
    <s v="All"/>
    <n v="0"/>
    <n v="0.39500000000000002"/>
    <n v="1.7775000000000001"/>
    <n v="278.685"/>
    <n v="278.685"/>
    <n v="0"/>
  </r>
  <r>
    <n v="430"/>
    <s v="82820192638JPH"/>
    <s v="NB"/>
    <s v="NA"/>
    <x v="7"/>
    <n v="2638"/>
    <s v="P&amp;M - 2nd Half 2019 (FY20)"/>
    <s v="NA"/>
    <x v="40"/>
    <n v="28"/>
    <n v="0"/>
    <n v="3.75"/>
    <n v="0"/>
    <n v="0"/>
    <n v="0"/>
    <n v="0"/>
    <n v="3.75"/>
    <x v="1"/>
    <s v="All"/>
    <n v="0"/>
    <n v="0.53"/>
    <n v="1.9875"/>
    <n v="232.23750000000001"/>
    <n v="232.23750000000001"/>
    <n v="0"/>
  </r>
  <r>
    <n v="431"/>
    <s v="82820192638RM"/>
    <s v="NB"/>
    <s v="NA"/>
    <x v="7"/>
    <n v="2638"/>
    <s v="P&amp;M - 2nd Half 2019 (FY20)"/>
    <s v="NA"/>
    <x v="40"/>
    <n v="28"/>
    <n v="0"/>
    <n v="0"/>
    <n v="0"/>
    <n v="1.5"/>
    <n v="0"/>
    <n v="0"/>
    <n v="1.5"/>
    <x v="3"/>
    <s v="All"/>
    <n v="0"/>
    <n v="0.5"/>
    <n v="0.75"/>
    <n v="92.894999999999996"/>
    <n v="92.894999999999996"/>
    <n v="0"/>
  </r>
  <r>
    <n v="432"/>
    <s v="82920192638JM"/>
    <s v="NB"/>
    <s v="NA"/>
    <x v="7"/>
    <n v="2638"/>
    <s v="P&amp;M - 2nd Half 2019 (FY20)"/>
    <s v="NA"/>
    <x v="41"/>
    <n v="29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33"/>
    <s v="82920192638JM"/>
    <s v="NB"/>
    <s v="NA"/>
    <x v="7"/>
    <n v="2638"/>
    <s v="P&amp;M - 2nd Half 2019 (FY20)"/>
    <s v="NA"/>
    <x v="41"/>
    <n v="29"/>
    <n v="1.75"/>
    <n v="0"/>
    <n v="0"/>
    <n v="0"/>
    <n v="0"/>
    <n v="0"/>
    <n v="1.75"/>
    <x v="2"/>
    <s v="All"/>
    <n v="0"/>
    <n v="0.39500000000000002"/>
    <n v="0.69125000000000003"/>
    <n v="108.3775"/>
    <n v="108.3775"/>
    <n v="0"/>
  </r>
  <r>
    <n v="434"/>
    <s v="82920192638JPH"/>
    <s v="NB"/>
    <s v="NA"/>
    <x v="7"/>
    <n v="2638"/>
    <s v="P&amp;M - 2nd Half 2019 (FY20)"/>
    <s v="NA"/>
    <x v="41"/>
    <n v="29"/>
    <n v="0"/>
    <n v="3.75"/>
    <n v="0"/>
    <n v="0"/>
    <n v="0"/>
    <n v="0"/>
    <n v="3.75"/>
    <x v="1"/>
    <s v="All"/>
    <n v="0"/>
    <n v="0.53"/>
    <n v="1.9875"/>
    <n v="232.23750000000001"/>
    <n v="232.23750000000001"/>
    <n v="0"/>
  </r>
  <r>
    <n v="435"/>
    <s v="83020192638JM"/>
    <s v="NB"/>
    <s v="NA"/>
    <x v="7"/>
    <n v="2638"/>
    <s v="P&amp;M - 2nd Half 2019 (FY20)"/>
    <s v="NA"/>
    <x v="51"/>
    <n v="30"/>
    <n v="0"/>
    <n v="0.25"/>
    <n v="0"/>
    <n v="0"/>
    <n v="0"/>
    <n v="0"/>
    <n v="0.25"/>
    <x v="2"/>
    <s v="All"/>
    <n v="0"/>
    <n v="0.39500000000000002"/>
    <n v="9.8750000000000004E-2"/>
    <n v="15.4825"/>
    <n v="15.4825"/>
    <n v="0"/>
  </r>
  <r>
    <n v="436"/>
    <s v="83020192638JM"/>
    <s v="NB"/>
    <s v="NA"/>
    <x v="7"/>
    <n v="2638"/>
    <s v="P&amp;M - 2nd Half 2019 (FY20)"/>
    <s v="NA"/>
    <x v="51"/>
    <n v="30"/>
    <n v="7.75"/>
    <n v="0"/>
    <n v="0"/>
    <n v="0"/>
    <n v="0"/>
    <n v="0"/>
    <n v="7.75"/>
    <x v="2"/>
    <s v="All"/>
    <n v="0"/>
    <n v="0.39500000000000002"/>
    <n v="3.0612500000000002"/>
    <n v="479.95749999999998"/>
    <n v="479.95749999999998"/>
    <n v="0"/>
  </r>
  <r>
    <n v="437"/>
    <s v="83020192638JPH"/>
    <s v="NB"/>
    <s v="NA"/>
    <x v="7"/>
    <n v="2638"/>
    <s v="P&amp;M - 2nd Half 2019 (FY20)"/>
    <s v="NA"/>
    <x v="51"/>
    <n v="30"/>
    <n v="0"/>
    <n v="2"/>
    <n v="0"/>
    <n v="0"/>
    <n v="0"/>
    <n v="0"/>
    <n v="2"/>
    <x v="1"/>
    <s v="All"/>
    <n v="0"/>
    <n v="0.53"/>
    <n v="1.06"/>
    <n v="123.86"/>
    <n v="123.86"/>
    <n v="0"/>
  </r>
  <r>
    <n v="438"/>
    <s v="9220192638JM"/>
    <s v="NB"/>
    <s v="NA"/>
    <x v="7"/>
    <n v="2638"/>
    <s v="P&amp;M - 2nd Half 2019 (FY20)"/>
    <s v="NA"/>
    <x v="52"/>
    <n v="2"/>
    <n v="2"/>
    <n v="0"/>
    <n v="0"/>
    <n v="0"/>
    <n v="0"/>
    <n v="0"/>
    <n v="2"/>
    <x v="2"/>
    <s v="All"/>
    <n v="0"/>
    <n v="0.39500000000000002"/>
    <n v="0.79"/>
    <n v="123.86"/>
    <n v="123.86"/>
    <n v="0"/>
  </r>
  <r>
    <n v="439"/>
    <s v="9320192638IE"/>
    <s v="NB"/>
    <s v="NA"/>
    <x v="7"/>
    <n v="2638"/>
    <s v="P&amp;M - 2nd Half 2019 (FY20)"/>
    <s v="NA"/>
    <x v="45"/>
    <n v="3"/>
    <n v="0"/>
    <n v="0.5"/>
    <n v="0"/>
    <n v="0"/>
    <n v="0"/>
    <n v="0"/>
    <n v="0.5"/>
    <x v="0"/>
    <s v="All"/>
    <n v="0"/>
    <n v="1"/>
    <n v="0.5"/>
    <n v="30.965"/>
    <n v="30.965"/>
    <n v="0"/>
  </r>
  <r>
    <n v="440"/>
    <s v="7120192639RM"/>
    <s v="NB"/>
    <s v="NA"/>
    <x v="7"/>
    <n v="2639"/>
    <s v="Web Maint. 2nd Half 2019 (FY20)"/>
    <s v="NA"/>
    <x v="12"/>
    <n v="1"/>
    <n v="0"/>
    <n v="0"/>
    <n v="0.5"/>
    <n v="0"/>
    <n v="0"/>
    <n v="0"/>
    <n v="0.5"/>
    <x v="3"/>
    <s v="All"/>
    <n v="0"/>
    <n v="0.5"/>
    <n v="0.25"/>
    <n v="30.965"/>
    <n v="30.965"/>
    <n v="0"/>
  </r>
  <r>
    <n v="441"/>
    <s v="7220192639JM"/>
    <s v="NB"/>
    <s v="NA"/>
    <x v="7"/>
    <n v="2639"/>
    <s v="Web Maint. 2nd Half 2019 (FY20)"/>
    <s v="NA"/>
    <x v="13"/>
    <n v="2"/>
    <n v="0"/>
    <n v="0"/>
    <n v="2"/>
    <n v="0"/>
    <n v="0"/>
    <n v="0"/>
    <n v="2"/>
    <x v="2"/>
    <s v="All"/>
    <n v="0"/>
    <n v="0.39500000000000002"/>
    <n v="0.79"/>
    <n v="123.86"/>
    <n v="123.86"/>
    <n v="0"/>
  </r>
  <r>
    <n v="442"/>
    <s v="7320192639JM"/>
    <s v="NB"/>
    <s v="NA"/>
    <x v="7"/>
    <n v="2639"/>
    <s v="Web Maint. 2nd Half 2019 (FY20)"/>
    <s v="NA"/>
    <x v="14"/>
    <n v="3"/>
    <n v="0"/>
    <n v="0"/>
    <n v="4"/>
    <n v="0"/>
    <n v="0"/>
    <n v="0"/>
    <n v="4"/>
    <x v="2"/>
    <s v="All"/>
    <n v="0"/>
    <n v="0.39500000000000002"/>
    <n v="1.58"/>
    <n v="247.72"/>
    <n v="247.72"/>
    <n v="0"/>
  </r>
  <r>
    <n v="443"/>
    <s v="7820192639RM"/>
    <s v="NB"/>
    <s v="NA"/>
    <x v="7"/>
    <n v="2639"/>
    <s v="Web Maint. 2nd Half 2019 (FY20)"/>
    <s v="NA"/>
    <x v="15"/>
    <n v="8"/>
    <n v="0"/>
    <n v="0"/>
    <n v="0.5"/>
    <n v="0"/>
    <n v="0"/>
    <n v="0"/>
    <n v="0.5"/>
    <x v="3"/>
    <s v="All"/>
    <n v="0"/>
    <n v="0.5"/>
    <n v="0.25"/>
    <n v="30.965"/>
    <n v="30.965"/>
    <n v="0"/>
  </r>
  <r>
    <n v="444"/>
    <s v="7920192639JM"/>
    <s v="NB"/>
    <s v="NA"/>
    <x v="7"/>
    <n v="2639"/>
    <s v="Web Maint. 2nd Half 2019 (FY20)"/>
    <s v="NA"/>
    <x v="0"/>
    <n v="9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45"/>
    <s v="7920192639RM"/>
    <s v="NB"/>
    <s v="NA"/>
    <x v="7"/>
    <n v="2639"/>
    <s v="Web Maint. 2nd Half 2019 (FY20)"/>
    <s v="NA"/>
    <x v="0"/>
    <n v="9"/>
    <n v="0"/>
    <n v="0"/>
    <n v="0.5"/>
    <n v="0"/>
    <n v="0"/>
    <n v="0"/>
    <n v="0.5"/>
    <x v="3"/>
    <s v="All"/>
    <n v="0"/>
    <n v="0.5"/>
    <n v="0.25"/>
    <n v="30.965"/>
    <n v="30.965"/>
    <n v="0"/>
  </r>
  <r>
    <n v="446"/>
    <s v="71120192639JM"/>
    <s v="NB"/>
    <s v="NA"/>
    <x v="7"/>
    <n v="2639"/>
    <s v="Web Maint. 2nd Half 2019 (FY20)"/>
    <s v="NA"/>
    <x v="2"/>
    <n v="11"/>
    <n v="0"/>
    <n v="0"/>
    <n v="1.75"/>
    <n v="0"/>
    <n v="0"/>
    <n v="0"/>
    <n v="1.75"/>
    <x v="2"/>
    <s v="All"/>
    <n v="0"/>
    <n v="0.39500000000000002"/>
    <n v="0.69125000000000003"/>
    <n v="108.3775"/>
    <n v="108.3775"/>
    <n v="0"/>
  </r>
  <r>
    <n v="447"/>
    <s v="71220192639JM"/>
    <s v="NB"/>
    <s v="NA"/>
    <x v="7"/>
    <n v="2639"/>
    <s v="Web Maint. 2nd Half 2019 (FY20)"/>
    <s v="NA"/>
    <x v="3"/>
    <n v="12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48"/>
    <s v="71620192639RM"/>
    <s v="NB"/>
    <s v="NA"/>
    <x v="7"/>
    <n v="2639"/>
    <s v="Web Maint. 2nd Half 2019 (FY20)"/>
    <s v="NA"/>
    <x v="5"/>
    <n v="16"/>
    <n v="0"/>
    <n v="0"/>
    <n v="1.5"/>
    <n v="0"/>
    <n v="0"/>
    <n v="0"/>
    <n v="1.5"/>
    <x v="3"/>
    <s v="All"/>
    <n v="0"/>
    <n v="0.5"/>
    <n v="0.75"/>
    <n v="92.894999999999996"/>
    <n v="92.894999999999996"/>
    <n v="0"/>
  </r>
  <r>
    <n v="449"/>
    <s v="71620192639RM"/>
    <s v="NB"/>
    <s v="NA"/>
    <x v="7"/>
    <n v="2639"/>
    <s v="Web Maint. 2nd Half 2019 (FY20)"/>
    <s v="NA"/>
    <x v="5"/>
    <n v="16"/>
    <n v="0"/>
    <n v="0"/>
    <n v="0"/>
    <n v="0.5"/>
    <n v="0"/>
    <n v="0"/>
    <n v="0.5"/>
    <x v="3"/>
    <s v="All"/>
    <n v="0"/>
    <n v="0.5"/>
    <n v="0.25"/>
    <n v="30.965"/>
    <n v="30.965"/>
    <n v="0"/>
  </r>
  <r>
    <n v="450"/>
    <s v="71820192639JM"/>
    <s v="NB"/>
    <s v="NA"/>
    <x v="7"/>
    <n v="2639"/>
    <s v="Web Maint. 2nd Half 2019 (FY20)"/>
    <s v="NA"/>
    <x v="7"/>
    <n v="18"/>
    <n v="0"/>
    <n v="0"/>
    <n v="0.5"/>
    <n v="0"/>
    <n v="0"/>
    <n v="0"/>
    <n v="0.5"/>
    <x v="2"/>
    <s v="All"/>
    <n v="0"/>
    <n v="0.39500000000000002"/>
    <n v="0.19750000000000001"/>
    <n v="30.965"/>
    <n v="30.965"/>
    <n v="0"/>
  </r>
  <r>
    <n v="451"/>
    <s v="72920192639RM"/>
    <s v="NB"/>
    <s v="NA"/>
    <x v="7"/>
    <n v="2639"/>
    <s v="Web Maint. 2nd Half 2019 (FY20)"/>
    <s v="NA"/>
    <x v="18"/>
    <n v="29"/>
    <n v="0"/>
    <n v="0"/>
    <n v="2"/>
    <n v="0"/>
    <n v="0"/>
    <n v="0"/>
    <n v="2"/>
    <x v="3"/>
    <s v="All"/>
    <n v="0"/>
    <n v="0.5"/>
    <n v="1"/>
    <n v="123.86"/>
    <n v="123.86"/>
    <n v="0"/>
  </r>
  <r>
    <n v="452"/>
    <s v="8620192639RM"/>
    <s v="NB"/>
    <s v="NA"/>
    <x v="7"/>
    <n v="2639"/>
    <s v="Web Maint. 2nd Half 2019 (FY20)"/>
    <s v="NA"/>
    <x v="24"/>
    <n v="6"/>
    <n v="0"/>
    <n v="0"/>
    <n v="0"/>
    <n v="1"/>
    <n v="0"/>
    <n v="0"/>
    <n v="1"/>
    <x v="3"/>
    <s v="All"/>
    <n v="0"/>
    <n v="0.5"/>
    <n v="0.5"/>
    <n v="61.93"/>
    <n v="61.93"/>
    <n v="0"/>
  </r>
  <r>
    <n v="453"/>
    <s v="81320192639JM"/>
    <s v="NB"/>
    <s v="NA"/>
    <x v="7"/>
    <n v="2639"/>
    <s v="Web Maint. 2nd Half 2019 (FY20)"/>
    <s v="NA"/>
    <x v="28"/>
    <n v="13"/>
    <n v="0"/>
    <n v="0"/>
    <n v="0.25"/>
    <n v="0"/>
    <n v="0"/>
    <n v="0"/>
    <n v="0.25"/>
    <x v="2"/>
    <s v="All"/>
    <n v="0"/>
    <n v="0.39500000000000002"/>
    <n v="9.8750000000000004E-2"/>
    <n v="15.4825"/>
    <n v="15.4825"/>
    <n v="0"/>
  </r>
  <r>
    <n v="454"/>
    <s v="81420192639JM"/>
    <s v="NB"/>
    <s v="NA"/>
    <x v="7"/>
    <n v="2639"/>
    <s v="Web Maint. 2nd Half 2019 (FY20)"/>
    <s v="NA"/>
    <x v="29"/>
    <n v="14"/>
    <n v="0"/>
    <n v="0"/>
    <n v="0.25"/>
    <n v="0"/>
    <n v="0"/>
    <n v="0"/>
    <n v="0.25"/>
    <x v="2"/>
    <s v="All"/>
    <n v="0"/>
    <n v="0.39500000000000002"/>
    <n v="9.8750000000000004E-2"/>
    <n v="15.4825"/>
    <n v="15.4825"/>
    <n v="0"/>
  </r>
  <r>
    <n v="455"/>
    <s v="81520192639JM"/>
    <s v="NB"/>
    <s v="NA"/>
    <x v="7"/>
    <n v="2639"/>
    <s v="Web Maint. 2nd Half 2019 (FY20)"/>
    <s v="NA"/>
    <x v="30"/>
    <n v="15"/>
    <n v="0"/>
    <n v="0"/>
    <n v="1.5"/>
    <n v="0"/>
    <n v="0"/>
    <n v="0"/>
    <n v="1.5"/>
    <x v="2"/>
    <s v="All"/>
    <n v="0"/>
    <n v="0.39500000000000002"/>
    <n v="0.59250000000000003"/>
    <n v="92.894999999999996"/>
    <n v="92.894999999999996"/>
    <n v="0"/>
  </r>
  <r>
    <n v="456"/>
    <s v="81920192639JPH"/>
    <s v="NB"/>
    <s v="NA"/>
    <x v="7"/>
    <n v="2639"/>
    <s v="Web Maint. 2nd Half 2019 (FY20)"/>
    <s v="NA"/>
    <x v="44"/>
    <n v="19"/>
    <n v="0"/>
    <n v="0"/>
    <n v="2.25"/>
    <n v="0"/>
    <n v="0"/>
    <n v="0"/>
    <n v="2.25"/>
    <x v="1"/>
    <s v="All"/>
    <n v="0"/>
    <n v="0.53"/>
    <n v="1.1925000000000001"/>
    <n v="139.3425"/>
    <n v="139.3425"/>
    <n v="0"/>
  </r>
  <r>
    <n v="457"/>
    <s v="81920192639RM"/>
    <s v="NB"/>
    <s v="NA"/>
    <x v="7"/>
    <n v="2639"/>
    <s v="Web Maint. 2nd Half 2019 (FY20)"/>
    <s v="NA"/>
    <x v="44"/>
    <n v="19"/>
    <n v="0"/>
    <n v="0"/>
    <n v="0"/>
    <n v="1"/>
    <n v="0"/>
    <n v="0"/>
    <n v="1"/>
    <x v="3"/>
    <s v="All"/>
    <n v="0"/>
    <n v="0.5"/>
    <n v="0.5"/>
    <n v="61.93"/>
    <n v="61.93"/>
    <n v="0"/>
  </r>
  <r>
    <n v="458"/>
    <s v="82320192639JM"/>
    <s v="NB"/>
    <s v="NA"/>
    <x v="7"/>
    <n v="2639"/>
    <s v="Web Maint. 2nd Half 2019 (FY20)"/>
    <s v="NA"/>
    <x v="35"/>
    <n v="23"/>
    <n v="0"/>
    <n v="0"/>
    <n v="0.25"/>
    <n v="0"/>
    <n v="0"/>
    <n v="0"/>
    <n v="0.25"/>
    <x v="2"/>
    <s v="All"/>
    <n v="0"/>
    <n v="0.39500000000000002"/>
    <n v="9.8750000000000004E-2"/>
    <n v="15.4825"/>
    <n v="15.4825"/>
    <n v="0"/>
  </r>
  <r>
    <n v="459"/>
    <s v="82920192639JPH"/>
    <s v="NB"/>
    <s v="NA"/>
    <x v="7"/>
    <n v="2639"/>
    <s v="Web Maint. 2nd Half 2019 (FY20)"/>
    <s v="NA"/>
    <x v="41"/>
    <n v="29"/>
    <n v="0"/>
    <n v="0"/>
    <n v="0.5"/>
    <n v="0"/>
    <n v="0"/>
    <n v="0"/>
    <n v="0.5"/>
    <x v="1"/>
    <s v="All"/>
    <n v="0"/>
    <n v="0.53"/>
    <n v="0.26500000000000001"/>
    <n v="30.965"/>
    <n v="30.965"/>
    <n v="0"/>
  </r>
  <r>
    <n v="460"/>
    <s v="71720192641IE"/>
    <s v="NB"/>
    <s v="NA"/>
    <x v="7"/>
    <n v="2641"/>
    <s v="Meetings (P&amp;M) FY20"/>
    <s v="NA"/>
    <x v="6"/>
    <n v="17"/>
    <n v="0"/>
    <n v="0"/>
    <n v="0"/>
    <n v="0"/>
    <n v="0"/>
    <n v="1.5"/>
    <n v="1.5"/>
    <x v="0"/>
    <s v="All"/>
    <n v="0"/>
    <n v="1"/>
    <n v="1.5"/>
    <n v="92.894999999999996"/>
    <n v="92.894999999999996"/>
    <n v="0"/>
  </r>
  <r>
    <n v="461"/>
    <s v="71720192641JM"/>
    <s v="NB"/>
    <s v="NA"/>
    <x v="7"/>
    <n v="2641"/>
    <s v="Meetings (P&amp;M) FY20"/>
    <s v="NA"/>
    <x v="6"/>
    <n v="17"/>
    <n v="0"/>
    <n v="0"/>
    <n v="0"/>
    <n v="0"/>
    <n v="0"/>
    <n v="1.5"/>
    <n v="1.5"/>
    <x v="2"/>
    <s v="All"/>
    <n v="0"/>
    <n v="0.39500000000000002"/>
    <n v="0.59250000000000003"/>
    <n v="92.894999999999996"/>
    <n v="92.894999999999996"/>
    <n v="0"/>
  </r>
  <r>
    <n v="462"/>
    <s v="71720192641RM"/>
    <s v="NB"/>
    <s v="NA"/>
    <x v="7"/>
    <n v="2641"/>
    <s v="Meetings (P&amp;M) FY20"/>
    <s v="NA"/>
    <x v="6"/>
    <n v="17"/>
    <n v="0"/>
    <n v="0"/>
    <n v="0"/>
    <n v="0"/>
    <n v="0"/>
    <n v="1.5"/>
    <n v="1.5"/>
    <x v="3"/>
    <s v="All"/>
    <n v="0"/>
    <n v="0.5"/>
    <n v="0.75"/>
    <n v="92.894999999999996"/>
    <n v="92.894999999999996"/>
    <n v="0"/>
  </r>
  <r>
    <n v="463"/>
    <s v="72220192641IE"/>
    <s v="NB"/>
    <s v="NA"/>
    <x v="7"/>
    <n v="2641"/>
    <s v="Meetings (P&amp;M) FY20"/>
    <s v="NA"/>
    <x v="8"/>
    <n v="22"/>
    <n v="0"/>
    <n v="0"/>
    <n v="0"/>
    <n v="0"/>
    <n v="0"/>
    <n v="1.25"/>
    <n v="1.25"/>
    <x v="0"/>
    <s v="All"/>
    <n v="0"/>
    <n v="1"/>
    <n v="1.25"/>
    <n v="77.412499999999994"/>
    <n v="77.412499999999994"/>
    <n v="0"/>
  </r>
  <r>
    <n v="464"/>
    <s v="72220192641RM"/>
    <s v="NB"/>
    <s v="NA"/>
    <x v="7"/>
    <n v="2641"/>
    <s v="Meetings (P&amp;M) FY20"/>
    <s v="NA"/>
    <x v="8"/>
    <n v="22"/>
    <n v="0"/>
    <n v="0"/>
    <n v="0"/>
    <n v="0"/>
    <n v="0"/>
    <n v="1.5"/>
    <n v="1.5"/>
    <x v="3"/>
    <s v="All"/>
    <n v="0"/>
    <n v="0.5"/>
    <n v="0.75"/>
    <n v="92.894999999999996"/>
    <n v="92.894999999999996"/>
    <n v="0"/>
  </r>
  <r>
    <n v="465"/>
    <s v="9320192641IE"/>
    <s v="NB"/>
    <s v="NA"/>
    <x v="7"/>
    <n v="2641"/>
    <s v="Meetings (P&amp;M) FY20"/>
    <s v="NA"/>
    <x v="45"/>
    <n v="3"/>
    <n v="0"/>
    <n v="0"/>
    <n v="0"/>
    <n v="0"/>
    <n v="0"/>
    <n v="1.5"/>
    <n v="1.5"/>
    <x v="0"/>
    <s v="All"/>
    <n v="0"/>
    <n v="1"/>
    <n v="1.5"/>
    <n v="92.894999999999996"/>
    <n v="92.894999999999996"/>
    <n v="0"/>
  </r>
  <r>
    <n v="466"/>
    <s v="9320192641JPH"/>
    <s v="NB"/>
    <s v="NA"/>
    <x v="7"/>
    <n v="2641"/>
    <s v="Meetings (P&amp;M) FY20"/>
    <s v="NA"/>
    <x v="45"/>
    <n v="3"/>
    <n v="0"/>
    <n v="0"/>
    <n v="0"/>
    <n v="0"/>
    <n v="0"/>
    <n v="0.75"/>
    <n v="0.75"/>
    <x v="1"/>
    <s v="All"/>
    <n v="0"/>
    <n v="0.53"/>
    <n v="0.39750000000000002"/>
    <n v="46.447499999999998"/>
    <n v="46.447499999999998"/>
    <n v="0"/>
  </r>
  <r>
    <n v="467"/>
    <s v="81420192651IE"/>
    <s v="NB"/>
    <s v="NA"/>
    <x v="7"/>
    <n v="2651"/>
    <s v="Petrified Springs Fault Geologic Map"/>
    <s v="NA"/>
    <x v="29"/>
    <n v="14"/>
    <n v="0"/>
    <n v="0"/>
    <n v="0"/>
    <n v="0"/>
    <n v="0"/>
    <n v="0.25"/>
    <n v="0.25"/>
    <x v="0"/>
    <s v="All"/>
    <n v="0"/>
    <n v="1"/>
    <n v="0.25"/>
    <n v="15.4825"/>
    <n v="15.4825"/>
    <n v="0"/>
  </r>
  <r>
    <n v="468"/>
    <s v="9420192651IE"/>
    <s v="NB"/>
    <s v="NA"/>
    <x v="7"/>
    <n v="2651"/>
    <s v="Petrified Springs Fault Geologic Map"/>
    <s v="NA"/>
    <x v="46"/>
    <n v="4"/>
    <n v="0"/>
    <n v="0"/>
    <n v="0"/>
    <n v="0"/>
    <n v="0"/>
    <n v="0.5"/>
    <n v="0.5"/>
    <x v="0"/>
    <s v="All"/>
    <n v="0"/>
    <n v="1"/>
    <n v="0.5"/>
    <n v="30.965"/>
    <n v="30.965"/>
    <n v="0"/>
  </r>
  <r>
    <n v="469"/>
    <s v="82720192652JPH"/>
    <s v="NB"/>
    <s v="NA"/>
    <x v="7"/>
    <n v="2652"/>
    <s v="Major Mines 2018"/>
    <s v="NA"/>
    <x v="38"/>
    <n v="27"/>
    <n v="0"/>
    <n v="0"/>
    <n v="0"/>
    <n v="0"/>
    <n v="0"/>
    <n v="3.25"/>
    <n v="3.25"/>
    <x v="1"/>
    <s v="All"/>
    <n v="0"/>
    <n v="0.53"/>
    <n v="1.7225000000000001"/>
    <n v="201.27250000000001"/>
    <n v="201.27250000000001"/>
    <n v="0"/>
  </r>
  <r>
    <n v="470"/>
    <s v="82820192652JPH"/>
    <s v="NB"/>
    <s v="NA"/>
    <x v="7"/>
    <n v="2652"/>
    <s v="Major Mines 2018"/>
    <s v="NA"/>
    <x v="40"/>
    <n v="28"/>
    <n v="0"/>
    <n v="0"/>
    <n v="0"/>
    <n v="0"/>
    <n v="0"/>
    <n v="0.5"/>
    <n v="0.5"/>
    <x v="1"/>
    <s v="All"/>
    <n v="0"/>
    <n v="0.53"/>
    <n v="0.26500000000000001"/>
    <n v="30.965"/>
    <n v="30.965"/>
    <n v="0"/>
  </r>
  <r>
    <n v="471"/>
    <s v="83020192652JPH"/>
    <s v="NB"/>
    <s v="NA"/>
    <x v="7"/>
    <n v="2652"/>
    <s v="Major Mines 2018"/>
    <s v="NA"/>
    <x v="51"/>
    <n v="30"/>
    <n v="0"/>
    <n v="0"/>
    <n v="0"/>
    <n v="0"/>
    <n v="0"/>
    <n v="2.25"/>
    <n v="2.25"/>
    <x v="1"/>
    <s v="All"/>
    <n v="0"/>
    <n v="0.53"/>
    <n v="1.1925000000000001"/>
    <n v="139.3425"/>
    <n v="139.3425"/>
    <n v="0"/>
  </r>
  <r>
    <n v="472"/>
    <s v="82120192653JM"/>
    <s v="NB"/>
    <s v="NA"/>
    <x v="7"/>
    <n v="2653"/>
    <s v="Accessibility Work"/>
    <s v="NA"/>
    <x v="33"/>
    <n v="21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473"/>
    <s v="82120192653RM"/>
    <s v="NB"/>
    <s v="NA"/>
    <x v="7"/>
    <n v="2653"/>
    <s v="Accessibility Work"/>
    <s v="NA"/>
    <x v="33"/>
    <n v="21"/>
    <n v="0"/>
    <n v="0"/>
    <n v="0"/>
    <n v="0"/>
    <n v="0"/>
    <n v="4"/>
    <n v="4"/>
    <x v="3"/>
    <s v="All"/>
    <n v="0"/>
    <n v="0.5"/>
    <n v="2"/>
    <n v="247.72"/>
    <n v="247.72"/>
    <n v="0"/>
  </r>
  <r>
    <n v="474"/>
    <s v="82220192653JM"/>
    <s v="NB"/>
    <s v="NA"/>
    <x v="7"/>
    <n v="2653"/>
    <s v="Accessibility Work"/>
    <s v="NA"/>
    <x v="34"/>
    <n v="22"/>
    <n v="0"/>
    <n v="0"/>
    <n v="0"/>
    <n v="0"/>
    <n v="0"/>
    <n v="11.25"/>
    <n v="11.25"/>
    <x v="2"/>
    <s v="All"/>
    <n v="0"/>
    <n v="0.39500000000000002"/>
    <n v="4.4437500000000005"/>
    <n v="696.71249999999998"/>
    <n v="696.71249999999998"/>
    <n v="0"/>
  </r>
  <r>
    <n v="475"/>
    <s v="82220192653RM"/>
    <s v="NB"/>
    <s v="NA"/>
    <x v="7"/>
    <n v="2653"/>
    <s v="Accessibility Work"/>
    <s v="NA"/>
    <x v="34"/>
    <n v="22"/>
    <n v="0"/>
    <n v="0"/>
    <n v="0"/>
    <n v="0"/>
    <n v="0"/>
    <n v="9"/>
    <n v="9"/>
    <x v="3"/>
    <s v="All"/>
    <n v="0"/>
    <n v="0.5"/>
    <n v="4.5"/>
    <n v="557.37"/>
    <n v="557.37"/>
    <n v="0"/>
  </r>
  <r>
    <n v="476"/>
    <s v="82520192653JM"/>
    <s v="NB"/>
    <s v="NA"/>
    <x v="7"/>
    <n v="2653"/>
    <s v="Accessibility Work"/>
    <s v="NA"/>
    <x v="39"/>
    <n v="25"/>
    <n v="0"/>
    <n v="0"/>
    <n v="0"/>
    <n v="0"/>
    <n v="0"/>
    <n v="0.25"/>
    <n v="0.25"/>
    <x v="2"/>
    <s v="All"/>
    <n v="0"/>
    <n v="0.39500000000000002"/>
    <n v="9.8750000000000004E-2"/>
    <n v="15.4825"/>
    <n v="15.4825"/>
    <n v="0"/>
  </r>
  <r>
    <n v="477"/>
    <s v="82620192653JM"/>
    <s v="NB"/>
    <s v="NA"/>
    <x v="7"/>
    <n v="2653"/>
    <s v="Accessibility Work"/>
    <s v="NA"/>
    <x v="37"/>
    <n v="26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478"/>
    <s v="82620192653RM"/>
    <s v="NB"/>
    <s v="NA"/>
    <x v="7"/>
    <n v="2653"/>
    <s v="Accessibility Work"/>
    <s v="NA"/>
    <x v="37"/>
    <n v="26"/>
    <n v="0"/>
    <n v="0"/>
    <n v="0"/>
    <n v="0"/>
    <n v="0"/>
    <n v="4.5"/>
    <n v="4.5"/>
    <x v="3"/>
    <s v="All"/>
    <n v="0"/>
    <n v="0.5"/>
    <n v="2.25"/>
    <n v="278.685"/>
    <n v="278.685"/>
    <n v="0"/>
  </r>
  <r>
    <n v="479"/>
    <s v="82720192653JM"/>
    <s v="NB"/>
    <s v="NA"/>
    <x v="7"/>
    <n v="2653"/>
    <s v="Accessibility Work"/>
    <s v="NA"/>
    <x v="38"/>
    <n v="27"/>
    <n v="0"/>
    <n v="0"/>
    <n v="0"/>
    <n v="0"/>
    <n v="0"/>
    <n v="1.25"/>
    <n v="1.25"/>
    <x v="2"/>
    <s v="All"/>
    <n v="0"/>
    <n v="0.39500000000000002"/>
    <n v="0.49375000000000002"/>
    <n v="77.412499999999994"/>
    <n v="77.412499999999994"/>
    <n v="0"/>
  </r>
  <r>
    <n v="480"/>
    <s v="83020192653JM"/>
    <s v="NB"/>
    <s v="NA"/>
    <x v="7"/>
    <n v="2653"/>
    <s v="Accessibility Work"/>
    <s v="NA"/>
    <x v="51"/>
    <n v="30"/>
    <n v="0"/>
    <n v="0"/>
    <n v="0"/>
    <n v="0"/>
    <n v="0"/>
    <n v="2"/>
    <n v="2"/>
    <x v="2"/>
    <s v="All"/>
    <n v="0"/>
    <n v="0.39500000000000002"/>
    <n v="0.79"/>
    <n v="123.86"/>
    <n v="123.86"/>
    <n v="0"/>
  </r>
  <r>
    <n v="481"/>
    <s v="82720192654JM"/>
    <s v="NB"/>
    <s v="NA"/>
    <x v="7"/>
    <n v="2654"/>
    <s v="SM20 Proposal Support"/>
    <s v="NA"/>
    <x v="38"/>
    <n v="27"/>
    <n v="0"/>
    <n v="0"/>
    <n v="0"/>
    <n v="0"/>
    <n v="0"/>
    <n v="4"/>
    <n v="4"/>
    <x v="2"/>
    <s v="All"/>
    <n v="0"/>
    <n v="0.39500000000000002"/>
    <n v="1.58"/>
    <n v="247.72"/>
    <n v="247.72"/>
    <n v="0"/>
  </r>
  <r>
    <n v="482"/>
    <s v="81520192647JM"/>
    <s v="WO"/>
    <s v="NA"/>
    <x v="8"/>
    <n v="2647"/>
    <s v="R&amp;D, Conference, Workshop FY20"/>
    <s v="NA"/>
    <x v="30"/>
    <n v="15"/>
    <n v="0"/>
    <n v="0"/>
    <n v="0"/>
    <n v="0"/>
    <n v="0"/>
    <n v="2.5"/>
    <n v="2.5"/>
    <x v="2"/>
    <s v="All"/>
    <n v="0"/>
    <n v="0.39500000000000002"/>
    <n v="0.98750000000000004"/>
    <n v="61.155875000000002"/>
    <n v="0"/>
    <n v="0"/>
  </r>
  <r>
    <n v="483"/>
    <s v="7320192648RM"/>
    <s v="WO"/>
    <s v="NA"/>
    <x v="8"/>
    <n v="2648"/>
    <s v="Outreach Opportunities FY20"/>
    <s v="NA"/>
    <x v="14"/>
    <n v="3"/>
    <n v="0"/>
    <n v="0"/>
    <n v="0"/>
    <n v="0"/>
    <n v="0"/>
    <n v="1"/>
    <n v="1"/>
    <x v="3"/>
    <s v="All"/>
    <n v="0"/>
    <n v="0.5"/>
    <n v="0.5"/>
    <n v="30.965"/>
    <n v="0"/>
    <n v="0"/>
  </r>
  <r>
    <n v="484"/>
    <s v="7820192648RM"/>
    <s v="WO"/>
    <s v="NA"/>
    <x v="8"/>
    <n v="2648"/>
    <s v="Outreach Opportunities FY20"/>
    <s v="NA"/>
    <x v="15"/>
    <n v="8"/>
    <n v="0"/>
    <n v="0"/>
    <n v="0"/>
    <n v="0"/>
    <n v="0"/>
    <n v="1.5"/>
    <n v="1.5"/>
    <x v="3"/>
    <s v="All"/>
    <n v="0"/>
    <n v="0.5"/>
    <n v="0.75"/>
    <n v="46.447499999999998"/>
    <n v="0"/>
    <n v="0"/>
  </r>
  <r>
    <n v="485"/>
    <s v="71520192648RM"/>
    <s v="WO"/>
    <s v="NA"/>
    <x v="8"/>
    <n v="2648"/>
    <s v="Outreach Opportunities FY20"/>
    <s v="NA"/>
    <x v="4"/>
    <n v="15"/>
    <n v="0"/>
    <n v="0"/>
    <n v="0"/>
    <n v="0"/>
    <n v="0"/>
    <n v="2.5"/>
    <n v="2.5"/>
    <x v="3"/>
    <s v="All"/>
    <n v="0"/>
    <n v="0.5"/>
    <n v="1.25"/>
    <n v="77.412499999999994"/>
    <n v="0"/>
    <n v="0"/>
  </r>
  <r>
    <n v="486"/>
    <s v="71920192648RM"/>
    <s v="WO"/>
    <s v="NA"/>
    <x v="8"/>
    <n v="2648"/>
    <s v="Outreach Opportunities FY20"/>
    <s v="NA"/>
    <x v="16"/>
    <n v="19"/>
    <n v="0"/>
    <n v="0"/>
    <n v="0"/>
    <n v="0"/>
    <n v="0"/>
    <n v="0.5"/>
    <n v="0.5"/>
    <x v="3"/>
    <s v="All"/>
    <n v="0"/>
    <n v="0.5"/>
    <n v="0.25"/>
    <n v="15.4825"/>
    <n v="0"/>
    <n v="0"/>
  </r>
  <r>
    <n v="487"/>
    <s v="8720192648RM"/>
    <s v="WO"/>
    <s v="NA"/>
    <x v="8"/>
    <n v="2648"/>
    <s v="Outreach Opportunities FY20"/>
    <s v="NA"/>
    <x v="25"/>
    <n v="7"/>
    <n v="0"/>
    <n v="0"/>
    <n v="0"/>
    <n v="0"/>
    <n v="0"/>
    <n v="0.5"/>
    <n v="0.5"/>
    <x v="3"/>
    <s v="All"/>
    <n v="0"/>
    <n v="0.5"/>
    <n v="0.25"/>
    <n v="15.4825"/>
    <n v="0"/>
    <n v="0"/>
  </r>
  <r>
    <n v="488"/>
    <s v="8820192648RM"/>
    <s v="WO"/>
    <s v="NA"/>
    <x v="8"/>
    <n v="2648"/>
    <s v="Outreach Opportunities FY20"/>
    <s v="NA"/>
    <x v="26"/>
    <n v="8"/>
    <n v="0"/>
    <n v="0"/>
    <n v="0"/>
    <n v="0"/>
    <n v="0"/>
    <n v="0.5"/>
    <n v="0.5"/>
    <x v="3"/>
    <s v="All"/>
    <n v="0"/>
    <n v="0.5"/>
    <n v="0.25"/>
    <n v="15.4825"/>
    <n v="0"/>
    <n v="0"/>
  </r>
  <r>
    <n v="489"/>
    <s v="81420192648JM"/>
    <s v="WO"/>
    <s v="NA"/>
    <x v="8"/>
    <n v="2648"/>
    <s v="Outreach Opportunities FY20"/>
    <s v="NA"/>
    <x v="29"/>
    <n v="14"/>
    <n v="0"/>
    <n v="0"/>
    <n v="0"/>
    <n v="0"/>
    <n v="0"/>
    <n v="3"/>
    <n v="3"/>
    <x v="2"/>
    <s v="All"/>
    <n v="0"/>
    <n v="0.39500000000000002"/>
    <n v="1.1850000000000001"/>
    <n v="73.387050000000002"/>
    <n v="0"/>
    <n v="0"/>
  </r>
  <r>
    <n v="490"/>
    <s v="82820192648RM"/>
    <s v="WO"/>
    <s v="NA"/>
    <x v="8"/>
    <n v="2648"/>
    <s v="Outreach Opportunities FY20"/>
    <s v="NA"/>
    <x v="40"/>
    <n v="28"/>
    <n v="0"/>
    <n v="0"/>
    <n v="0"/>
    <n v="0"/>
    <n v="0"/>
    <n v="1.5"/>
    <n v="1.5"/>
    <x v="3"/>
    <s v="All"/>
    <n v="0"/>
    <n v="0.5"/>
    <n v="0.75"/>
    <n v="46.44749999999999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0" firstHeaderRow="1" firstDataRow="4" firstDataCol="1" rowPageCount="1" colPageCount="1"/>
  <pivotFields count="6">
    <pivotField axis="axisPage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allDrilled="1" showAll="0" dataSourceSort="1" defaultAttributeDrillState="1">
      <items count="5">
        <item x="0" e="0"/>
        <item x="1" e="0"/>
        <item x="2" e="0"/>
        <item x="3" e="0"/>
        <item t="default"/>
      </items>
    </pivotField>
    <pivotField axis="axisCol" allDrilled="1" showAll="0" dataSourceSort="1">
      <items count="2">
        <item x="0" e="0"/>
        <item t="default"/>
      </items>
    </pivotField>
    <pivotField axis="axisRow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3">
    <field x="4"/>
    <field x="3"/>
    <field x="2"/>
  </colFields>
  <colItems count="2">
    <i>
      <x/>
    </i>
    <i t="grand">
      <x/>
    </i>
  </colItems>
  <pageFields count="1">
    <pageField fld="0" hier="2" name="[Table1].[IPO].&amp;[NB]" cap="NB"/>
  </pageFields>
  <dataFields count="1">
    <dataField name="Sum of Total NB" fld="1" baseField="0" baseItem="0" numFmtId="166"/>
  </dataFields>
  <formats count="2">
    <format dxfId="472">
      <pivotArea outline="0" collapsedLevelsAreSubtotals="1" fieldPosition="0"/>
    </format>
    <format dxfId="471">
      <pivotArea outline="0" collapsedLevelsAreSubtotals="1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3">
    <colHierarchyUsage hierarchyUsage="25"/>
    <colHierarchyUsage hierarchyUsage="27"/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sterFY19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D10" firstHeaderRow="0" firstDataRow="1" firstDataCol="1" rowPageCount="3" colPageCount="1"/>
  <pivotFields count="7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5" hier="5" name="[Table1].[WO#].&amp;[2466]" cap="2466"/>
    <pageField fld="2" hier="25" name="[Table1].[Date (Year)].[All]" cap="All"/>
    <pageField fld="6" hier="27" name="[Table1].[Date (Month)].[All]" cap="All"/>
  </pageFields>
  <dataFields count="3">
    <dataField fld="1" subtotal="count" baseField="0" baseItem="0"/>
    <dataField fld="3" subtotal="count" baseField="0" baseItem="0" numFmtId="2"/>
    <dataField fld="4" subtotal="count" baseField="0" baseItem="0" numFmtId="2"/>
  </dataFields>
  <formats count="1">
    <format dxfId="470">
      <pivotArea outline="0" fieldPosition="0">
        <references count="1">
          <reference field="4294967294" count="1">
            <x v="2"/>
          </reference>
        </references>
      </pivotArea>
    </format>
  </formats>
  <pivotHierarchies count="39">
    <pivotHierarchy dragToData="1"/>
    <pivotHierarchy dragToData="1"/>
    <pivotHierarchy dragToData="1"/>
    <pivotHierarchy dragToData="1"/>
    <pivotHierarchy dragToData="1"/>
    <pivotHierarchy multipleItemSelectionAllowed="1" dragToData="1">
      <members count="22" level="1">
        <member name="[Table1].[WO#].&amp;[2466]"/>
        <member name="[Table1].[WO#].&amp;[2524]"/>
        <member name="[Table1].[WO#].&amp;[2526]"/>
        <member name="[Table1].[WO#].&amp;[2590]"/>
        <member name="[Table1].[WO#].&amp;[2595]"/>
        <member name="[Table1].[WO#].&amp;[2601]"/>
        <member name="[Table1].[WO#].&amp;[2606]"/>
        <member name="[Table1].[WO#].&amp;[2607]"/>
        <member name="[Table1].[WO#].&amp;[2617]"/>
        <member name="[Table1].[WO#].&amp;[2624]"/>
        <member name="[Table1].[WO#].&amp;[2627]"/>
        <member name="[Table1].[WO#].&amp;[2635]"/>
        <member name="[Table1].[WO#].&amp;[2636]"/>
        <member name="[Table1].[WO#].&amp;[2637]"/>
        <member name="[Table1].[WO#].&amp;[2638]"/>
        <member name="[Table1].[WO#].&amp;[2639]"/>
        <member name="[Table1].[WO#].&amp;[2641]"/>
        <member name="[Table1].[WO#].&amp;[2649]"/>
        <member name="[Table1].[WO#].&amp;[2651]"/>
        <member name="[Table1].[WO#].&amp;[2652]"/>
        <member name="[Table1].[WO#].&amp;[2653]"/>
        <member name="[Table1].[WO#].&amp;[265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sterFY19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5:D10" firstHeaderRow="0" firstDataRow="1" firstDataCol="1" rowPageCount="3" colPageCount="1"/>
  <pivotFields count="7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4" hier="5" name="[Table1].[WO#].&amp;[2466]" cap="2466"/>
    <pageField fld="5" hier="25" name="[Table1].[Date (Year)].[All]" cap="All"/>
    <pageField fld="6" hier="27" name="[Table1].[Date (Month)].[All]" cap="All"/>
  </pageFields>
  <dataFields count="3">
    <dataField fld="1" subtotal="count" baseField="0" baseItem="0" numFmtId="2"/>
    <dataField fld="3" subtotal="count" baseField="0" baseItem="0" numFmtId="1"/>
    <dataField fld="2" subtotal="count" baseField="0" baseItem="0" numFmtId="2"/>
  </dataFields>
  <formats count="8">
    <format dxfId="46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5">
    <chartFormat chart="7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5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6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6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6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6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6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7" format="65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7" format="66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7" format="67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7" format="68">
      <pivotArea type="data" outline="0" fieldPosition="0">
        <references count="2">
          <reference field="4294967294" count="1" selected="0">
            <x v="2"/>
          </reference>
          <reference field="0" count="1" selected="0">
            <x v="0"/>
          </reference>
        </references>
      </pivotArea>
    </chartFormat>
    <chartFormat chart="7" format="69">
      <pivotArea type="data"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chartFormat>
    <chartFormat chart="7" format="70">
      <pivotArea type="data" outline="0" fieldPosition="0">
        <references count="2">
          <reference field="4294967294" count="1" selected="0">
            <x v="2"/>
          </reference>
          <reference field="0" count="1" selected="0">
            <x v="2"/>
          </reference>
        </references>
      </pivotArea>
    </chartFormat>
    <chartFormat chart="7" format="71">
      <pivotArea type="data" outline="0" fieldPosition="0">
        <references count="2">
          <reference field="4294967294" count="1" selected="0">
            <x v="2"/>
          </reference>
          <reference field="0" count="1" selected="0">
            <x v="3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multipleItemSelectionAllowed="1" dragToData="1">
      <members count="22" level="1">
        <member name="[Table1].[WO#].&amp;[2466]"/>
        <member name="[Table1].[WO#].&amp;[2524]"/>
        <member name="[Table1].[WO#].&amp;[2526]"/>
        <member name="[Table1].[WO#].&amp;[2590]"/>
        <member name="[Table1].[WO#].&amp;[2595]"/>
        <member name="[Table1].[WO#].&amp;[2601]"/>
        <member name="[Table1].[WO#].&amp;[2606]"/>
        <member name="[Table1].[WO#].&amp;[2607]"/>
        <member name="[Table1].[WO#].&amp;[2617]"/>
        <member name="[Table1].[WO#].&amp;[2624]"/>
        <member name="[Table1].[WO#].&amp;[2627]"/>
        <member name="[Table1].[WO#].&amp;[2635]"/>
        <member name="[Table1].[WO#].&amp;[2636]"/>
        <member name="[Table1].[WO#].&amp;[2637]"/>
        <member name="[Table1].[WO#].&amp;[2638]"/>
        <member name="[Table1].[WO#].&amp;[2639]"/>
        <member name="[Table1].[WO#].&amp;[2641]"/>
        <member name="[Table1].[WO#].&amp;[2649]"/>
        <member name="[Table1].[WO#].&amp;[2651]"/>
        <member name="[Table1].[WO#].&amp;[2652]"/>
        <member name="[Table1].[WO#].&amp;[2653]"/>
        <member name="[Table1].[WO#].&amp;[265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WO#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sterFY19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C14" firstHeaderRow="0" firstDataRow="1" firstDataCol="1" rowPageCount="2" colPageCount="1"/>
  <pivotFields count="27">
    <pivotField showAll="0"/>
    <pivotField showAll="0"/>
    <pivotField showAll="0"/>
    <pivotField showAll="0" defaultSubtotal="0"/>
    <pivotField axis="axisRow" showAll="0">
      <items count="13">
        <item m="1" x="11"/>
        <item x="2"/>
        <item m="1" x="10"/>
        <item x="3"/>
        <item m="1" x="9"/>
        <item x="4"/>
        <item x="6"/>
        <item x="5"/>
        <item x="7"/>
        <item x="8"/>
        <item x="0"/>
        <item x="1"/>
        <item t="default"/>
      </items>
    </pivotField>
    <pivotField showAll="0"/>
    <pivotField showAll="0"/>
    <pivotField showAll="0" defaultSubtotal="0"/>
    <pivotField numFmtId="164" showAll="0"/>
    <pivotField numFmtId="1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8">
        <item m="1" x="6"/>
        <item x="4"/>
        <item x="0"/>
        <item x="2"/>
        <item x="1"/>
        <item x="3"/>
        <item m="1" x="5"/>
        <item t="default"/>
      </items>
    </pivotField>
    <pivotField showAll="0"/>
    <pivotField numFmtId="2" showAll="0"/>
    <pivotField numFmtId="167" showAll="0" defaultSubtotal="0"/>
    <pivotField dataField="1" numFmtId="2" showAll="0" defaultSubtotal="0"/>
    <pivotField dataField="1" numFmtId="2" showAll="0" defaultSubtotal="0"/>
    <pivotField numFmtId="44" showAll="0"/>
    <pivotField numFmtId="44" showAll="0"/>
    <pivotField showAll="0" defaultSubtotal="0"/>
    <pivotField axis="axisPage" showAll="0" defaultSubtotal="0">
      <items count="3">
        <item x="1"/>
        <item x="0"/>
        <item x="2"/>
      </items>
    </pivotField>
  </pivotFields>
  <rowFields count="1">
    <field x="4"/>
  </rowFields>
  <row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2">
    <pageField fld="17" hier="-1"/>
    <pageField fld="26" hier="-1"/>
  </pageFields>
  <dataFields count="2">
    <dataField name="Sum of FTE Total Hrs" fld="21" baseField="0" baseItem="0" numFmtId="2"/>
    <dataField name="Sum of FTE Total" fld="22" baseField="0" baseItem="0" numFmtId="44"/>
  </dataFields>
  <formats count="2">
    <format dxfId="4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0">
    <chartFormat chart="1" format="1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19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120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12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122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123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124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125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126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1" format="127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1" format="128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1" format="129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1" format="130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1" format="13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" format="132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1" format="133">
      <pivotArea type="data" outline="0" fieldPosition="0">
        <references count="2">
          <reference field="4294967294" count="1" selected="0">
            <x v="1"/>
          </reference>
          <reference field="4" count="1" selected="0">
            <x v="9"/>
          </reference>
        </references>
      </pivotArea>
    </chartFormat>
    <chartFormat chart="1" format="134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  <chartFormat chart="1" format="135">
      <pivotArea type="data" outline="0" fieldPosition="0">
        <references count="2">
          <reference field="4294967294" count="1" selected="0">
            <x v="1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D14" firstHeaderRow="0" firstDataRow="1" firstDataCol="1" rowPageCount="2" colPageCount="1"/>
  <pivotFields count="27">
    <pivotField showAll="0"/>
    <pivotField showAll="0"/>
    <pivotField showAll="0"/>
    <pivotField showAll="0" defaultSubtotal="0"/>
    <pivotField axis="axisRow" showAll="0">
      <items count="13">
        <item x="2"/>
        <item m="1" x="10"/>
        <item x="3"/>
        <item m="1" x="9"/>
        <item x="4"/>
        <item x="6"/>
        <item x="5"/>
        <item x="8"/>
        <item x="7"/>
        <item m="1" x="11"/>
        <item x="0"/>
        <item x="1"/>
        <item t="default"/>
      </items>
    </pivotField>
    <pivotField showAll="0"/>
    <pivotField showAll="0"/>
    <pivotField showAll="0" defaultSubtota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axis="axisPage" showAll="0">
      <items count="8">
        <item m="1" x="6"/>
        <item x="4"/>
        <item x="0"/>
        <item x="2"/>
        <item x="1"/>
        <item x="3"/>
        <item m="1" x="5"/>
        <item t="default"/>
      </items>
    </pivotField>
    <pivotField showAll="0"/>
    <pivotField dataField="1" numFmtId="2" showAll="0"/>
    <pivotField numFmtId="167" showAll="0" defaultSubtotal="0"/>
    <pivotField numFmtId="2" showAll="0" defaultSubtotal="0"/>
    <pivotField numFmtId="2" showAll="0" defaultSubtotal="0"/>
    <pivotField numFmtId="44" showAll="0"/>
    <pivotField dataField="1" numFmtId="44"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3">
        <item sd="0" x="1"/>
        <item x="0"/>
        <item x="2"/>
      </items>
    </pivotField>
  </pivotFields>
  <rowFields count="1">
    <field x="4"/>
  </rowFields>
  <rowItems count="10">
    <i>
      <x/>
    </i>
    <i>
      <x v="2"/>
    </i>
    <i>
      <x v="4"/>
    </i>
    <i>
      <x v="5"/>
    </i>
    <i>
      <x v="6"/>
    </i>
    <i>
      <x v="7"/>
    </i>
    <i>
      <x v="8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7" hier="-1"/>
    <pageField fld="26" hier="-1"/>
  </pageFields>
  <dataFields count="3">
    <dataField name="Sum of Time Worked" fld="16" baseField="0" baseItem="0"/>
    <dataField name="Sum of Time Billed" fld="19" baseField="0" baseItem="0"/>
    <dataField name="Sum of Total Billed" fld="24" baseField="0" baseItem="0"/>
  </dataFields>
  <formats count="460">
    <format dxfId="459">
      <pivotArea collapsedLevelsAreSubtotals="1" fieldPosition="0">
        <references count="1">
          <reference field="4" count="0"/>
        </references>
      </pivotArea>
    </format>
    <format dxfId="458">
      <pivotArea grandRow="1" outline="0" collapsedLevelsAreSubtotals="1" fieldPosition="0"/>
    </format>
    <format dxfId="457">
      <pivotArea dataOnly="0" labelOnly="1" fieldPosition="0">
        <references count="1">
          <reference field="4" count="6">
            <x v="0"/>
            <x v="1"/>
            <x v="2"/>
            <x v="4"/>
            <x v="6"/>
            <x v="7"/>
          </reference>
        </references>
      </pivotArea>
    </format>
    <format dxfId="45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5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5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5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5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45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45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44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44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44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44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4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4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4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4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44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44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43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43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43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43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3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3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3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3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43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43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42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42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42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426">
      <pivotArea dataOnly="0" labelOnly="1" fieldPosition="0">
        <references count="1">
          <reference field="4" count="6">
            <x v="0"/>
            <x v="1"/>
            <x v="2"/>
            <x v="4"/>
            <x v="6"/>
            <x v="7"/>
          </reference>
        </references>
      </pivotArea>
    </format>
    <format dxfId="42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2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2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2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21">
      <pivotArea dataOnly="0" labelOnly="1" fieldPosition="0">
        <references count="1">
          <reference field="4" count="6">
            <x v="0"/>
            <x v="1"/>
            <x v="2"/>
            <x v="4"/>
            <x v="6"/>
            <x v="7"/>
          </reference>
        </references>
      </pivotArea>
    </format>
    <format dxfId="420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1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1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1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16">
      <pivotArea dataOnly="0" labelOnly="1" fieldPosition="0">
        <references count="1">
          <reference field="4" count="1">
            <x v="0"/>
          </reference>
        </references>
      </pivotArea>
    </format>
    <format dxfId="41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414">
      <pivotArea dataOnly="0" labelOnly="1" fieldPosition="0">
        <references count="1">
          <reference field="4" count="1">
            <x v="0"/>
          </reference>
        </references>
      </pivotArea>
    </format>
    <format dxfId="41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412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0"/>
          </reference>
        </references>
      </pivotArea>
    </format>
    <format dxfId="411">
      <pivotArea dataOnly="0" labelOnly="1" fieldPosition="0">
        <references count="1">
          <reference field="4" count="1">
            <x v="1"/>
          </reference>
        </references>
      </pivotArea>
    </format>
    <format dxfId="41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409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1"/>
          </reference>
        </references>
      </pivotArea>
    </format>
    <format dxfId="408">
      <pivotArea dataOnly="0" labelOnly="1" fieldPosition="0">
        <references count="1">
          <reference field="4" count="1">
            <x v="2"/>
          </reference>
        </references>
      </pivotArea>
    </format>
    <format dxfId="40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406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2"/>
          </reference>
        </references>
      </pivotArea>
    </format>
    <format dxfId="405">
      <pivotArea dataOnly="0" labelOnly="1" fieldPosition="0">
        <references count="1">
          <reference field="4" count="1">
            <x v="4"/>
          </reference>
        </references>
      </pivotArea>
    </format>
    <format dxfId="40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403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4"/>
          </reference>
        </references>
      </pivotArea>
    </format>
    <format dxfId="402">
      <pivotArea dataOnly="0" labelOnly="1" fieldPosition="0">
        <references count="1">
          <reference field="4" count="1">
            <x v="7"/>
          </reference>
        </references>
      </pivotArea>
    </format>
    <format dxfId="40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400">
      <pivotArea dataOnly="0" labelOnly="1" fieldPosition="0">
        <references count="1">
          <reference field="4" count="1">
            <x v="7"/>
          </reference>
        </references>
      </pivotArea>
    </format>
    <format dxfId="39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398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7"/>
          </reference>
        </references>
      </pivotArea>
    </format>
    <format dxfId="397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9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9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9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93">
      <pivotArea grandRow="1" grandCol="1" outline="0" collapsedLevelsAreSubtotals="1" fieldPosition="0">
        <references count="1">
          <reference field="4294967294" count="2" selected="0">
            <x v="0"/>
            <x v="2"/>
          </reference>
        </references>
      </pivotArea>
    </format>
    <format dxfId="392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0"/>
          </reference>
        </references>
      </pivotArea>
    </format>
    <format dxfId="391">
      <pivotArea dataOnly="0" labelOnly="1" fieldPosition="0">
        <references count="1">
          <reference field="4" count="1">
            <x v="0"/>
          </reference>
        </references>
      </pivotArea>
    </format>
    <format dxfId="39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389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1"/>
          </reference>
        </references>
      </pivotArea>
    </format>
    <format dxfId="388">
      <pivotArea dataOnly="0" labelOnly="1" fieldPosition="0">
        <references count="1">
          <reference field="4" count="1">
            <x v="1"/>
          </reference>
        </references>
      </pivotArea>
    </format>
    <format dxfId="38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386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2"/>
          </reference>
        </references>
      </pivotArea>
    </format>
    <format dxfId="385">
      <pivotArea dataOnly="0" labelOnly="1" fieldPosition="0">
        <references count="1">
          <reference field="4" count="1">
            <x v="2"/>
          </reference>
        </references>
      </pivotArea>
    </format>
    <format dxfId="38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383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4"/>
          </reference>
        </references>
      </pivotArea>
    </format>
    <format dxfId="382">
      <pivotArea dataOnly="0" labelOnly="1" fieldPosition="0">
        <references count="1">
          <reference field="4" count="1">
            <x v="4"/>
          </reference>
        </references>
      </pivotArea>
    </format>
    <format dxfId="38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380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6"/>
          </reference>
        </references>
      </pivotArea>
    </format>
    <format dxfId="379">
      <pivotArea dataOnly="0" labelOnly="1" fieldPosition="0">
        <references count="1">
          <reference field="4" count="1">
            <x v="6"/>
          </reference>
        </references>
      </pivotArea>
    </format>
    <format dxfId="37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377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7"/>
          </reference>
        </references>
      </pivotArea>
    </format>
    <format dxfId="376">
      <pivotArea dataOnly="0" labelOnly="1" fieldPosition="0">
        <references count="1">
          <reference field="4" count="1">
            <x v="7"/>
          </reference>
        </references>
      </pivotArea>
    </format>
    <format dxfId="37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374">
      <pivotArea field="4" grandRow="1" outline="0" collapsedLevelsAreSubtotals="1" axis="axisRow" fieldPosition="0">
        <references count="1">
          <reference field="4294967294" count="2" selected="0">
            <x v="0"/>
            <x v="2"/>
          </reference>
        </references>
      </pivotArea>
    </format>
    <format dxfId="37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7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7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7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69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format>
    <format dxfId="368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format>
    <format dxfId="367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format>
    <format dxfId="366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format>
    <format dxfId="365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format>
    <format dxfId="364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format>
    <format dxfId="363">
      <pivotArea field="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62">
      <pivotArea field="4" type="button" dataOnly="0" labelOnly="1" outline="0" axis="axisRow" fieldPosition="0"/>
    </format>
    <format dxfId="361">
      <pivotArea field="-2" type="button" dataOnly="0" labelOnly="1" outline="0" axis="axisCol" fieldPosition="0"/>
    </format>
    <format dxfId="360">
      <pivotArea type="topRight" dataOnly="0" labelOnly="1" outline="0" fieldPosition="0"/>
    </format>
    <format dxfId="359">
      <pivotArea type="origin" dataOnly="0" labelOnly="1" outline="0" fieldPosition="0"/>
    </format>
    <format dxfId="358">
      <pivotArea field="26" type="button" dataOnly="0" labelOnly="1" outline="0" axis="axisPage" fieldPosition="1"/>
    </format>
    <format dxfId="357">
      <pivotArea dataOnly="0" labelOnly="1" grandRow="1" outline="0" fieldPosition="0"/>
    </format>
    <format dxfId="356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3"/>
          </reference>
        </references>
      </pivotArea>
    </format>
    <format dxfId="355">
      <pivotArea dataOnly="0" labelOnly="1" fieldPosition="0">
        <references count="1">
          <reference field="4" count="1">
            <x v="3"/>
          </reference>
        </references>
      </pivotArea>
    </format>
    <format dxfId="35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53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3"/>
          </reference>
        </references>
      </pivotArea>
    </format>
    <format dxfId="352">
      <pivotArea dataOnly="0" labelOnly="1" fieldPosition="0">
        <references count="1">
          <reference field="4" count="1">
            <x v="3"/>
          </reference>
        </references>
      </pivotArea>
    </format>
    <format dxfId="35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50">
      <pivotArea dataOnly="0" labelOnly="1" fieldPosition="0">
        <references count="1">
          <reference field="4" count="1">
            <x v="3"/>
          </reference>
        </references>
      </pivotArea>
    </format>
    <format dxfId="34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48">
      <pivotArea dataOnly="0" labelOnly="1" fieldPosition="0">
        <references count="1">
          <reference field="4" count="1">
            <x v="3"/>
          </reference>
        </references>
      </pivotArea>
    </format>
    <format dxfId="34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46">
      <pivotArea dataOnly="0" labelOnly="1" fieldPosition="0">
        <references count="1">
          <reference field="4" count="1">
            <x v="3"/>
          </reference>
        </references>
      </pivotArea>
    </format>
    <format dxfId="34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44">
      <pivotArea dataOnly="0" labelOnly="1" fieldPosition="0">
        <references count="1">
          <reference field="4" count="1">
            <x v="3"/>
          </reference>
        </references>
      </pivotArea>
    </format>
    <format dxfId="343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4"/>
          </reference>
        </references>
      </pivotArea>
    </format>
    <format dxfId="342">
      <pivotArea dataOnly="0" labelOnly="1" fieldPosition="0">
        <references count="1">
          <reference field="4" count="1">
            <x v="4"/>
          </reference>
        </references>
      </pivotArea>
    </format>
    <format dxfId="34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34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39">
      <pivotArea dataOnly="0" labelOnly="1" fieldPosition="0">
        <references count="1">
          <reference field="4" count="0"/>
        </references>
      </pivotArea>
    </format>
    <format dxfId="33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3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3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3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3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33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33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33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3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32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32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32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326">
      <pivotArea dataOnly="0" labelOnly="1" fieldPosition="0">
        <references count="1">
          <reference field="4" count="0"/>
        </references>
      </pivotArea>
    </format>
    <format dxfId="32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2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2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2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2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32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31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31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1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316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31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31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313">
      <pivotArea dataOnly="0" labelOnly="1" fieldPosition="0">
        <references count="1">
          <reference field="4" count="0"/>
        </references>
      </pivotArea>
    </format>
    <format dxfId="31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11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10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0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0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30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306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30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30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30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30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30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300">
      <pivotArea dataOnly="0" labelOnly="1" fieldPosition="0">
        <references count="1">
          <reference field="4" count="0"/>
        </references>
      </pivotArea>
    </format>
    <format dxfId="29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98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97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9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9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29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29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29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29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29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8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28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287">
      <pivotArea dataOnly="0" labelOnly="1" fieldPosition="0">
        <references count="1">
          <reference field="4" count="0"/>
        </references>
      </pivotArea>
    </format>
    <format dxfId="28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8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8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8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8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28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280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27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27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27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76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27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274">
      <pivotArea dataOnly="0" labelOnly="1" fieldPosition="0">
        <references count="1">
          <reference field="4" count="0"/>
        </references>
      </pivotArea>
    </format>
    <format dxfId="27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7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7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7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69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0"/>
          </reference>
        </references>
      </pivotArea>
    </format>
    <format dxfId="26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1"/>
          </reference>
        </references>
      </pivotArea>
    </format>
    <format dxfId="26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2"/>
          </reference>
        </references>
      </pivotArea>
    </format>
    <format dxfId="266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3"/>
          </reference>
        </references>
      </pivotArea>
    </format>
    <format dxfId="26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4"/>
          </reference>
        </references>
      </pivotArea>
    </format>
    <format dxfId="264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6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262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261">
      <pivotArea grandRow="1" grandCol="1"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0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9">
      <pivotArea outline="0" collapsedLevelsAreSubtotals="1" fieldPosition="0">
        <references count="2">
          <reference field="4294967294" count="2" selected="0">
            <x v="0"/>
            <x v="2"/>
          </reference>
          <reference field="4" count="1" selected="0">
            <x v="5"/>
          </reference>
        </references>
      </pivotArea>
    </format>
    <format dxfId="258">
      <pivotArea dataOnly="0" labelOnly="1" fieldPosition="0">
        <references count="1">
          <reference field="4" count="1">
            <x v="5"/>
          </reference>
        </references>
      </pivotArea>
    </format>
    <format dxfId="257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56">
      <pivotArea dataOnly="0" labelOnly="1" fieldPosition="0">
        <references count="1">
          <reference field="4" count="1">
            <x v="5"/>
          </reference>
        </references>
      </pivotArea>
    </format>
    <format dxfId="25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54">
      <pivotArea dataOnly="0" labelOnly="1" fieldPosition="0">
        <references count="1">
          <reference field="4" count="1">
            <x v="5"/>
          </reference>
        </references>
      </pivotArea>
    </format>
    <format dxfId="253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52">
      <pivotArea dataOnly="0" labelOnly="1" fieldPosition="0">
        <references count="1">
          <reference field="4" count="1">
            <x v="5"/>
          </reference>
        </references>
      </pivotArea>
    </format>
    <format dxfId="251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5"/>
          </reference>
        </references>
      </pivotArea>
    </format>
    <format dxfId="250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5"/>
          </reference>
        </references>
      </pivotArea>
    </format>
    <format dxfId="249">
      <pivotArea dataOnly="0" labelOnly="1" fieldPosition="0">
        <references count="1">
          <reference field="4" count="1">
            <x v="6"/>
          </reference>
        </references>
      </pivotArea>
    </format>
    <format dxfId="248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6"/>
          </reference>
        </references>
      </pivotArea>
    </format>
    <format dxfId="247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6"/>
          </reference>
        </references>
      </pivotArea>
    </format>
    <format dxfId="246">
      <pivotArea dataOnly="0" labelOnly="1" fieldPosition="0">
        <references count="1">
          <reference field="4" count="1">
            <x v="7"/>
          </reference>
        </references>
      </pivotArea>
    </format>
    <format dxfId="245">
      <pivotArea dataOnly="0" labelOnly="1" outline="0" fieldPosition="0">
        <references count="2">
          <reference field="4294967294" count="2">
            <x v="0"/>
            <x v="2"/>
          </reference>
          <reference field="4" count="1" selected="0">
            <x v="7"/>
          </reference>
        </references>
      </pivotArea>
    </format>
    <format dxfId="244">
      <pivotArea field="4" outline="0" collapsedLevelsAreSubtotals="1" axis="axisRow" fieldPosition="0">
        <references count="2">
          <reference field="4294967294" count="2" selected="0">
            <x v="0"/>
            <x v="2"/>
          </reference>
          <reference field="4" count="1" selected="0">
            <x v="7"/>
          </reference>
        </references>
      </pivotArea>
    </format>
    <format dxfId="24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4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4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4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38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7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3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5">
      <pivotArea grandRow="1" grandCol="1" outline="0" collapsedLevelsAreSubtotals="1" fieldPosition="0">
        <references count="1">
          <reference field="4294967294" count="2" selected="0">
            <x v="0"/>
            <x v="2"/>
          </reference>
        </references>
      </pivotArea>
    </format>
    <format dxfId="234">
      <pivotArea grandRow="1" grandCol="1" outline="0" collapsedLevelsAreSubtotals="1" fieldPosition="0">
        <references count="1">
          <reference field="4294967294" count="2" selected="0">
            <x v="0"/>
            <x v="2"/>
          </reference>
        </references>
      </pivotArea>
    </format>
    <format dxfId="23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3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3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3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2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28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2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2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25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2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2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22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21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2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21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21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21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21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21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21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21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21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11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1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0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08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0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05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20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20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20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20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20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9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9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9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9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19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9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9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9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91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9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8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88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8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8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8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8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8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8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8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8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7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17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77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7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7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7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7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7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71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7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6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6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6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6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6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6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6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6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16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60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5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57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5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5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5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5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5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4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4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4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4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4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14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43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4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4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40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3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3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37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3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3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3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3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3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3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3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2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2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12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2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0"/>
          </reference>
        </references>
      </pivotArea>
    </format>
    <format dxfId="125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0"/>
          </reference>
        </references>
      </pivotArea>
    </format>
    <format dxfId="124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0"/>
          </reference>
        </references>
      </pivotArea>
    </format>
    <format dxfId="12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22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1"/>
          </reference>
        </references>
      </pivotArea>
    </format>
    <format dxfId="12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1"/>
          </reference>
        </references>
      </pivotArea>
    </format>
    <format dxfId="120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1"/>
          </reference>
        </references>
      </pivotArea>
    </format>
    <format dxfId="11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1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2"/>
          </reference>
        </references>
      </pivotArea>
    </format>
    <format dxfId="117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2"/>
          </reference>
        </references>
      </pivotArea>
    </format>
    <format dxfId="116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2"/>
          </reference>
        </references>
      </pivotArea>
    </format>
    <format dxfId="11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14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3"/>
          </reference>
        </references>
      </pivotArea>
    </format>
    <format dxfId="11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3"/>
          </reference>
        </references>
      </pivotArea>
    </format>
    <format dxfId="112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3"/>
          </reference>
        </references>
      </pivotArea>
    </format>
    <format dxfId="11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1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4"/>
          </reference>
        </references>
      </pivotArea>
    </format>
    <format dxfId="109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4"/>
          </reference>
        </references>
      </pivotArea>
    </format>
    <format dxfId="108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4"/>
          </reference>
        </references>
      </pivotArea>
    </format>
    <format dxfId="10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0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5"/>
          </reference>
        </references>
      </pivotArea>
    </format>
    <format dxfId="105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5"/>
          </reference>
        </references>
      </pivotArea>
    </format>
    <format dxfId="104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5"/>
          </reference>
        </references>
      </pivotArea>
    </format>
    <format dxfId="10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0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6"/>
          </reference>
        </references>
      </pivotArea>
    </format>
    <format dxfId="101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6"/>
          </reference>
        </references>
      </pivotArea>
    </format>
    <format dxfId="100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6"/>
          </reference>
        </references>
      </pivotArea>
    </format>
    <format dxfId="9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9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4" count="1" selected="0">
            <x v="7"/>
          </reference>
        </references>
      </pivotArea>
    </format>
    <format dxfId="97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7"/>
          </reference>
        </references>
      </pivotArea>
    </format>
    <format dxfId="96">
      <pivotArea field="4" outline="0" collapsedLevelsAreSubtotals="1" axis="axisRow" fieldPosition="0">
        <references count="2">
          <reference field="4294967294" count="3" selected="0">
            <x v="0"/>
            <x v="1"/>
            <x v="2"/>
          </reference>
          <reference field="4" count="1" selected="0">
            <x v="7"/>
          </reference>
        </references>
      </pivotArea>
    </format>
    <format dxfId="9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9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1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9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8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5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2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1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80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9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8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7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6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3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7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70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7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2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61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60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9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8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7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6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5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4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3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52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51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50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9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8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7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6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5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4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3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42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41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40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9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8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7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6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5">
      <pivotArea field="4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34">
      <pivotArea field="4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33">
      <pivotArea field="4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32">
      <pivotArea grandRow="1" grandCol="1"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1">
      <pivotArea grandRow="1" grandCol="1"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0">
      <pivotArea grandRow="1" grandCol="1"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29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8">
      <pivotArea field="26" type="button" dataOnly="0" labelOnly="1" outline="0" axis="axisPage" fieldPosition="1"/>
    </format>
    <format dxfId="27">
      <pivotArea field="25" type="button" dataOnly="0" labelOnly="1" outline="0"/>
    </format>
    <format dxfId="26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format>
    <format dxfId="25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format>
    <format dxfId="24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format>
    <format dxfId="23">
      <pivotArea outline="0" collapsedLevelsAreSubtotals="1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format>
    <format dxfId="22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format>
    <format dxfId="21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5"/>
          </reference>
        </references>
      </pivotArea>
    </format>
    <format dxfId="20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format>
    <format dxfId="19">
      <pivotArea outline="0" collapsedLevelsAreSubtotals="1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grandRow="1" outline="0" collapsedLevelsAreSubtotals="1" fieldPosition="0"/>
    </format>
    <format dxfId="10">
      <pivotArea collapsedLevelsAreSubtotals="1" fieldPosition="0">
        <references count="2">
          <reference field="4294967294" count="1" selected="0">
            <x v="0"/>
          </reference>
          <reference field="4" count="0"/>
        </references>
      </pivotArea>
    </format>
    <format dxfId="9">
      <pivotArea grandRow="1" outline="0" collapsedLevelsAreSubtotals="1" fieldPosition="0"/>
    </format>
    <format dxfId="8">
      <pivotArea collapsedLevelsAreSubtotals="1" fieldPosition="0">
        <references count="1">
          <reference field="4" count="0"/>
        </references>
      </pivotArea>
    </format>
    <format dxfId="7">
      <pivotArea collapsedLevelsAreSubtotals="1" fieldPosition="0">
        <references count="2">
          <reference field="4294967294" count="1" selected="0">
            <x v="1"/>
          </reference>
          <reference field="4" count="1">
            <x v="4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4" count="1">
            <x v="7"/>
          </reference>
        </references>
      </pivotArea>
    </format>
    <format dxfId="5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1"/>
          </reference>
          <reference field="4" count="1">
            <x v="0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1"/>
          </reference>
          <reference field="4" count="1">
            <x v="4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1"/>
          </reference>
          <reference field="4" count="1">
            <x v="7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1"/>
          </reference>
          <reference field="4" count="1">
            <x v="8"/>
          </reference>
        </references>
      </pivotArea>
    </format>
    <format dxfId="0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30">
    <chartFormat chart="3" format="2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4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24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246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247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248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249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250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3" format="25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3" format="252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3" format="2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54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3" format="255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3" format="256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3" format="257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3" format="258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3" format="25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3" format="260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3" format="261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  <chartFormat chart="3" format="262">
      <pivotArea type="data" outline="0" fieldPosition="0">
        <references count="2">
          <reference field="4294967294" count="1" selected="0">
            <x v="1"/>
          </reference>
          <reference field="4" count="1" selected="0">
            <x v="11"/>
          </reference>
        </references>
      </pivotArea>
    </chartFormat>
    <chartFormat chart="3" format="26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264">
      <pivotArea type="data" outline="0" fieldPosition="0">
        <references count="2">
          <reference field="4294967294" count="1" selected="0">
            <x v="2"/>
          </reference>
          <reference field="4" count="1" selected="0">
            <x v="0"/>
          </reference>
        </references>
      </pivotArea>
    </chartFormat>
    <chartFormat chart="3" format="265">
      <pivotArea type="data" outline="0" fieldPosition="0">
        <references count="2">
          <reference field="4294967294" count="1" selected="0">
            <x v="2"/>
          </reference>
          <reference field="4" count="1" selected="0">
            <x v="2"/>
          </reference>
        </references>
      </pivotArea>
    </chartFormat>
    <chartFormat chart="3" format="266">
      <pivotArea type="data" outline="0" fieldPosition="0">
        <references count="2">
          <reference field="4294967294" count="1" selected="0">
            <x v="2"/>
          </reference>
          <reference field="4" count="1" selected="0">
            <x v="4"/>
          </reference>
        </references>
      </pivotArea>
    </chartFormat>
    <chartFormat chart="3" format="267">
      <pivotArea type="data" outline="0" fieldPosition="0">
        <references count="2">
          <reference field="4294967294" count="1" selected="0">
            <x v="2"/>
          </reference>
          <reference field="4" count="1" selected="0">
            <x v="5"/>
          </reference>
        </references>
      </pivotArea>
    </chartFormat>
    <chartFormat chart="3" format="268">
      <pivotArea type="data" outline="0" fieldPosition="0">
        <references count="2">
          <reference field="4294967294" count="1" selected="0">
            <x v="2"/>
          </reference>
          <reference field="4" count="1" selected="0">
            <x v="6"/>
          </reference>
        </references>
      </pivotArea>
    </chartFormat>
    <chartFormat chart="3" format="269">
      <pivotArea type="data" outline="0" fieldPosition="0">
        <references count="2">
          <reference field="4294967294" count="1" selected="0">
            <x v="2"/>
          </reference>
          <reference field="4" count="1" selected="0">
            <x v="7"/>
          </reference>
        </references>
      </pivotArea>
    </chartFormat>
    <chartFormat chart="3" format="270">
      <pivotArea type="data" outline="0" fieldPosition="0">
        <references count="2">
          <reference field="4294967294" count="1" selected="0">
            <x v="2"/>
          </reference>
          <reference field="4" count="1" selected="0">
            <x v="8"/>
          </reference>
        </references>
      </pivotArea>
    </chartFormat>
    <chartFormat chart="3" format="271">
      <pivotArea type="data" outline="0" fieldPosition="0">
        <references count="2">
          <reference field="4294967294" count="1" selected="0">
            <x v="2"/>
          </reference>
          <reference field="4" count="1" selected="0">
            <x v="10"/>
          </reference>
        </references>
      </pivotArea>
    </chartFormat>
    <chartFormat chart="3" format="272">
      <pivotArea type="data" outline="0" fieldPosition="0">
        <references count="2">
          <reference field="4294967294" count="1" selected="0">
            <x v="2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Y551" totalsRowCount="1">
  <autoFilter ref="A1:Y550" xr:uid="{00000000-0009-0000-0100-000001000000}"/>
  <tableColumns count="25">
    <tableColumn id="1" xr3:uid="{00000000-0010-0000-0000-000001000000}" name="#" totalsRowFunction="count" dataDxfId="513">
      <calculatedColumnFormula>IF(IFERROR(A1+1,1)=1,1,A1+1)</calculatedColumnFormula>
    </tableColumn>
    <tableColumn id="2" xr3:uid="{00000000-0010-0000-0000-000002000000}" name="Check" dataDxfId="512" totalsRowDxfId="511">
      <calculatedColumnFormula>IF(I2="","",CONCATENATE(MONTH(I2),DAY(I2),YEAR(I2),F2,R2))</calculatedColumnFormula>
    </tableColumn>
    <tableColumn id="3" xr3:uid="{00000000-0010-0000-0000-000003000000}" name="IPO" dataDxfId="510"/>
    <tableColumn id="22" xr3:uid="{00000000-0010-0000-0000-000016000000}" name="Work Tag" dataDxfId="509"/>
    <tableColumn id="20" xr3:uid="{00000000-0010-0000-0000-000014000000}" name="Category" dataDxfId="508">
      <calculatedColumnFormula>IF(ISNUMBER(FIND("GR",D2)),"External",IF(C2="NB","Unbilled",IF(AND(C2="Admin",F2=2642),"Annual",IF(AND(C2="Admin",F2=2643),"Comp",IF(AND(C2="Admin",F2=2640),"FMLA",IF(AND(C2="Admin",F2=2644),"Holiday",IF(AND(C2="Admin",F2=2646),"Sick",IF(AND(C2="Admin",F2=2645),"LWOP",IF(C2="Match","Match",IF(C2="WO","Write Off","Internal"))))))))))</calculatedColumnFormula>
    </tableColumn>
    <tableColumn id="4" xr3:uid="{00000000-0010-0000-0000-000004000000}" name="WO#" dataDxfId="507"/>
    <tableColumn id="19" xr3:uid="{00000000-0010-0000-0000-000013000000}" name="Project Name" dataDxfId="506" totalsRowDxfId="505">
      <calculatedColumnFormula>VLOOKUP(Table1[[#This Row],[WO'#]],Table2[#All],2,FALSE)</calculatedColumnFormula>
    </tableColumn>
    <tableColumn id="21" xr3:uid="{00000000-0010-0000-0000-000015000000}" name="IPO Date" dataDxfId="504" totalsRowDxfId="503"/>
    <tableColumn id="5" xr3:uid="{00000000-0010-0000-0000-000005000000}" name="Date" dataDxfId="502"/>
    <tableColumn id="6" xr3:uid="{00000000-0010-0000-0000-000006000000}" name="Day" dataDxfId="501" totalsRowDxfId="500">
      <calculatedColumnFormula>IF(I2="","",DAY(I2))</calculatedColumnFormula>
    </tableColumn>
    <tableColumn id="7" xr3:uid="{00000000-0010-0000-0000-000007000000}" name="Gen. Admin" dataDxfId="499"/>
    <tableColumn id="8" xr3:uid="{00000000-0010-0000-0000-000008000000}" name="Misc. Requests" dataDxfId="498"/>
    <tableColumn id="9" xr3:uid="{00000000-0010-0000-0000-000009000000}" name="IT/Comp/Software" dataDxfId="497"/>
    <tableColumn id="10" xr3:uid="{00000000-0010-0000-0000-00000A000000}" name="General Work Planning" dataDxfId="496"/>
    <tableColumn id="11" xr3:uid="{00000000-0010-0000-0000-00000B000000}" name="Other" dataDxfId="495"/>
    <tableColumn id="12" xr3:uid="{00000000-0010-0000-0000-00000C000000}" name="Work Admin" dataDxfId="494"/>
    <tableColumn id="13" xr3:uid="{00000000-0010-0000-0000-00000D000000}" name="Time Worked" totalsRowFunction="sum" dataDxfId="493" totalsRowDxfId="492">
      <calculatedColumnFormula>SUM(K2:P2)</calculatedColumnFormula>
    </tableColumn>
    <tableColumn id="14" xr3:uid="{00000000-0010-0000-0000-00000E000000}" name="Initials" dataDxfId="491"/>
    <tableColumn id="15" xr3:uid="{00000000-0010-0000-0000-00000F000000}" name="All" dataDxfId="490"/>
    <tableColumn id="17" xr3:uid="{00000000-0010-0000-0000-000011000000}" name="Time Billed" totalsRowFunction="sum" dataDxfId="489" totalsRowDxfId="488">
      <calculatedColumnFormula>IF(R2="","",IF(OR(C2="WO",C2="Match",C2="NB",C2="Admin"),0,SUM(K2:P2)))</calculatedColumnFormula>
    </tableColumn>
    <tableColumn id="24" xr3:uid="{00000000-0010-0000-0000-000018000000}" name="FTE %" dataDxfId="487" totalsRowDxfId="486">
      <calculatedColumnFormula>IF(Table1[[#This Row],[Initials]]="RM",$AE$10,IF(Table1[[#This Row],[Initials]]="JPH",$AE$11,IF(Table1[[#This Row],[Initials]]="IE",$AE$13,IF(Table1[[#This Row],[Initials]]="JM",$AE$14,1))))</calculatedColumnFormula>
    </tableColumn>
    <tableColumn id="23" xr3:uid="{00000000-0010-0000-0000-000017000000}" name="FTE Total Hrs" dataDxfId="485" totalsRowDxfId="484">
      <calculatedColumnFormula>Table1[[#This Row],[FTE %]]*Table1[[#This Row],[Time Worked]]</calculatedColumnFormula>
    </tableColumn>
    <tableColumn id="25" xr3:uid="{00000000-0010-0000-0000-000019000000}" name="FTE Total" dataDxfId="483" totalsRowDxfId="482">
      <calculatedColumnFormula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calculatedColumnFormula>
    </tableColumn>
    <tableColumn id="18" xr3:uid="{00000000-0010-0000-0000-000012000000}" name="Total NB" totalsRowFunction="sum" dataDxfId="481" totalsRowDxfId="480" dataCellStyle="Currency">
      <calculatedColumnFormula>IF(R2="","",IF(OR(C2="Match",C2="Write Off",C2&lt;&gt;"NB",C2="Admin"),0,IF(OR(R2="BOGD",R2="BOGC",R2="BLGDB",R2="BLGCR"),IF(AND(I2&gt;=$AE$3,I2&lt;=$AF$3),P2*$AD$3,IF(AND(I2&gt;=$AE$4,I2&lt;=$AF$4),P2*$AD$4,IF(AND(I2&gt;=$AE$5,I2&lt;=$AF$5),P2*$AD$5,IF(AND(I2&gt;=$AE$6,I2&lt;=$AF$6),P2*$AD$6,P2*$AD$7)))),IF(AND(I2&gt;=$AE$3,I2&lt;=$AF$3),Q2*$AD$3,IF(AND(I2&gt;=$AE$4,I2&lt;=$AF$4),Q2*$AD$4,IF(AND(I2&gt;=$AE$5,I2&lt;=$AF$5),Q2*$AD$5,IF(AND(I2&gt;=$AE$6,I2&lt;=$AF$6),Q2*$AD$6,Q2*$AD$7)))))))</calculatedColumnFormula>
    </tableColumn>
    <tableColumn id="16" xr3:uid="{00000000-0010-0000-0000-000010000000}" name="Total Billed" totalsRowFunction="sum" dataDxfId="479" totalsRowDxfId="478" dataCellStyle="Currency">
      <calculatedColumnFormula>IF(R2="","",IF(OR(C2="Match",C2="WO",C2="NB",C2="Admin"),0,IF(OR(R2="BOGD",R2="BOGC",R2="BLGDB",R2="BLGCR"),IF(AND(I2&gt;=$AE$3,I2&lt;=$AF$3),P2*$AD$3,IF(AND(I2&gt;=$AE$4,I2&lt;=$AF$4),P2*$AD$4,IF(AND(I2&gt;=$AE$5,I2&lt;=$AF$5),P2*$AD$5,IF(AND(I2&gt;=$AE$6,I2&lt;=$AF$6),P2*$AD$6,P2*$AD$7)))),IF(AND(I2&gt;=$AE$3,I2&lt;=$AF$3),Q2*$AD$3,IF(AND(I2&gt;=$AE$4,I2&lt;=$AF$4),Q2*$AD$4,IF(AND(I2&gt;=$AE$5,I2&lt;=$AF$5),Q2*$AD$5,IF(AND(I2&gt;=$AE$6,I2&lt;=$AF$6),Q2*$AD$6,Q2*$AD$7)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F957" totalsRowShown="0">
  <sortState xmlns:xlrd2="http://schemas.microsoft.com/office/spreadsheetml/2017/richdata2" ref="A2:F957">
    <sortCondition ref="A2:A957"/>
  </sortState>
  <tableColumns count="6">
    <tableColumn id="1" xr3:uid="{00000000-0010-0000-0100-000001000000}" name="WO #"/>
    <tableColumn id="2" xr3:uid="{00000000-0010-0000-0100-000002000000}" name="Name"/>
    <tableColumn id="4" xr3:uid="{00000000-0010-0000-0100-000004000000}" name="Date Opened" dataDxfId="476"/>
    <tableColumn id="6" xr3:uid="{00000000-0010-0000-0100-000006000000}" name="End Date" dataDxfId="475"/>
    <tableColumn id="5" xr3:uid="{00000000-0010-0000-0100-000005000000}" name="Date Closed" dataDxfId="474"/>
    <tableColumn id="3" xr3:uid="{00000000-0010-0000-0100-000003000000}" name="Status" dataDxfId="47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F551"/>
  <sheetViews>
    <sheetView tabSelected="1" zoomScale="77" zoomScaleNormal="77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140625" bestFit="1" customWidth="1"/>
    <col min="2" max="2" width="16.42578125" style="5" bestFit="1" customWidth="1"/>
    <col min="3" max="3" width="10.42578125" style="1" bestFit="1" customWidth="1"/>
    <col min="4" max="4" width="10.7109375" style="1" customWidth="1"/>
    <col min="5" max="5" width="14.85546875" style="1" bestFit="1" customWidth="1"/>
    <col min="6" max="6" width="11.28515625" style="1" bestFit="1" customWidth="1"/>
    <col min="7" max="7" width="31.28515625" style="21" bestFit="1" customWidth="1"/>
    <col min="8" max="8" width="12.7109375" style="20" customWidth="1"/>
    <col min="9" max="9" width="11.28515625" style="2" bestFit="1" customWidth="1"/>
    <col min="10" max="10" width="5.7109375" style="4" customWidth="1"/>
    <col min="11" max="17" width="12.7109375" style="3" customWidth="1"/>
    <col min="18" max="18" width="13" style="1" bestFit="1" customWidth="1"/>
    <col min="19" max="19" width="9.5703125" style="1" bestFit="1" customWidth="1"/>
    <col min="20" max="20" width="16.85546875" style="3" bestFit="1" customWidth="1"/>
    <col min="21" max="21" width="11.85546875" style="44" bestFit="1" customWidth="1"/>
    <col min="22" max="22" width="17.7109375" style="3" bestFit="1" customWidth="1"/>
    <col min="23" max="23" width="14.5703125" style="3" bestFit="1" customWidth="1"/>
    <col min="24" max="24" width="15.28515625" style="9" bestFit="1" customWidth="1"/>
    <col min="25" max="25" width="18" style="8" bestFit="1" customWidth="1"/>
    <col min="26" max="26" width="2.5703125" customWidth="1"/>
    <col min="27" max="27" width="22.140625" customWidth="1"/>
    <col min="28" max="28" width="85.28515625" customWidth="1"/>
    <col min="29" max="29" width="2.28515625" customWidth="1"/>
    <col min="30" max="30" width="17.140625" bestFit="1" customWidth="1"/>
    <col min="31" max="31" width="9.42578125" bestFit="1" customWidth="1"/>
    <col min="32" max="32" width="11.7109375" bestFit="1" customWidth="1"/>
    <col min="34" max="34" width="9.140625" customWidth="1"/>
  </cols>
  <sheetData>
    <row r="1" spans="1:32" x14ac:dyDescent="0.25">
      <c r="A1" s="1" t="s">
        <v>46</v>
      </c>
      <c r="B1" s="1" t="s">
        <v>53</v>
      </c>
      <c r="C1" s="1" t="s">
        <v>37</v>
      </c>
      <c r="D1" s="1" t="s">
        <v>986</v>
      </c>
      <c r="E1" s="1" t="s">
        <v>959</v>
      </c>
      <c r="F1" s="1" t="s">
        <v>16</v>
      </c>
      <c r="G1" s="1" t="s">
        <v>920</v>
      </c>
      <c r="H1" s="20" t="s">
        <v>1024</v>
      </c>
      <c r="I1" s="2" t="s">
        <v>14</v>
      </c>
      <c r="J1" s="4" t="s">
        <v>24</v>
      </c>
      <c r="K1" s="3" t="s">
        <v>41</v>
      </c>
      <c r="L1" s="3" t="s">
        <v>42</v>
      </c>
      <c r="M1" s="3" t="s">
        <v>43</v>
      </c>
      <c r="N1" s="3" t="s">
        <v>44</v>
      </c>
      <c r="O1" s="3" t="s">
        <v>45</v>
      </c>
      <c r="P1" s="3" t="s">
        <v>40</v>
      </c>
      <c r="Q1" s="3" t="s">
        <v>114</v>
      </c>
      <c r="R1" s="1" t="s">
        <v>15</v>
      </c>
      <c r="S1" s="1" t="s">
        <v>23</v>
      </c>
      <c r="T1" s="3" t="s">
        <v>115</v>
      </c>
      <c r="U1" s="44" t="s">
        <v>987</v>
      </c>
      <c r="V1" s="3" t="s">
        <v>988</v>
      </c>
      <c r="W1" s="3" t="s">
        <v>989</v>
      </c>
      <c r="X1" s="9" t="s">
        <v>880</v>
      </c>
      <c r="Y1" s="9" t="s">
        <v>55</v>
      </c>
    </row>
    <row r="2" spans="1:32" ht="15" customHeight="1" x14ac:dyDescent="0.25">
      <c r="A2" s="10">
        <f t="shared" ref="A2:A65" si="0">IF(IFERROR(A1+1,1)=1,1,A1+1)</f>
        <v>1</v>
      </c>
      <c r="B2" s="6" t="str">
        <f t="shared" ref="B2:B65" si="1">IF(I2="","",CONCATENATE(MONTH(I2),DAY(I2),YEAR(I2),F2,R2))</f>
        <v>7920192524IE</v>
      </c>
      <c r="C2" s="1">
        <v>10574</v>
      </c>
      <c r="D2" s="1" t="s">
        <v>1005</v>
      </c>
      <c r="E2" s="1" t="str">
        <f t="shared" ref="E2:E65" si="2">IF(ISNUMBER(FIND("GR",D2)),"External",IF(C2="NB","Unbilled",IF(AND(C2="Admin",F2=2642),"Annual",IF(AND(C2="Admin",F2=2643),"Comp",IF(AND(C2="Admin",F2=2640),"FMLA",IF(AND(C2="Admin",F2=2644),"Holiday",IF(AND(C2="Admin",F2=2646),"Sick",IF(AND(C2="Admin",F2=2645),"LWOP",IF(C2="Match","Match",IF(C2="WO","Write Off","Internal"))))))))))</f>
        <v>External</v>
      </c>
      <c r="F2" s="1">
        <v>2524</v>
      </c>
      <c r="G2" s="37" t="str">
        <f>VLOOKUP(Table1[[#This Row],[WO'#]],Table2[#All],2,FALSE)</f>
        <v>Las Vegas Valley</v>
      </c>
      <c r="H2" s="20">
        <v>43677</v>
      </c>
      <c r="I2" s="2">
        <v>43655</v>
      </c>
      <c r="J2" s="4">
        <f t="shared" ref="J2:J65" si="3">IF(I2="","",DAY(I2))</f>
        <v>9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8.75</v>
      </c>
      <c r="Q2" s="3">
        <f t="shared" ref="Q2:Q65" si="4">SUM(K2:P2)</f>
        <v>8.75</v>
      </c>
      <c r="R2" s="1" t="s">
        <v>971</v>
      </c>
      <c r="S2" s="1" t="s">
        <v>23</v>
      </c>
      <c r="T2" s="3">
        <f t="shared" ref="T2:T65" si="5">IF(R2="","",IF(OR(C2="WO",C2="Match",C2="NB",C2="Admin"),0,SUM(K2:P2)))</f>
        <v>8.75</v>
      </c>
      <c r="U2" s="44">
        <f>IF(Table1[[#This Row],[Initials]]="RM",$AE$10,IF(Table1[[#This Row],[Initials]]="JPH",$AE$11,IF(Table1[[#This Row],[Initials]]="IE",$AE$13,IF(Table1[[#This Row],[Initials]]="JM",$AE$14,1))))</f>
        <v>1</v>
      </c>
      <c r="V2" s="3">
        <f>Table1[[#This Row],[FTE %]]*Table1[[#This Row],[Time Worked]]</f>
        <v>8.75</v>
      </c>
      <c r="W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541.88750000000005</v>
      </c>
      <c r="X2" s="38">
        <f t="shared" ref="X2:X65" si="6">IF(R2="","",IF(OR(C2="Match",C2="Write Off",C2&lt;&gt;"NB",C2="Admin"),0,IF(OR(R2="BOGD",R2="BOGC",R2="BLGDB",R2="BLGCR"),IF(AND(I2&gt;=$AE$3,I2&lt;=$AF$3),P2*$AD$3,IF(AND(I2&gt;=$AE$4,I2&lt;=$AF$4),P2*$AD$4,IF(AND(I2&gt;=$AE$5,I2&lt;=$AF$5),P2*$AD$5,IF(AND(I2&gt;=$AE$6,I2&lt;=$AF$6),P2*$AD$6,P2*$AD$7)))),IF(AND(I2&gt;=$AE$3,I2&lt;=$AF$3),Q2*$AD$3,IF(AND(I2&gt;=$AE$4,I2&lt;=$AF$4),Q2*$AD$4,IF(AND(I2&gt;=$AE$5,I2&lt;=$AF$5),Q2*$AD$5,IF(AND(I2&gt;=$AE$6,I2&lt;=$AF$6),Q2*$AD$6,Q2*$AD$7)))))))</f>
        <v>0</v>
      </c>
      <c r="Y2" s="18">
        <f t="shared" ref="Y2:Y65" si="7">IF(R2="","",IF(OR(C2="Match",C2="WO",C2="NB",C2="Admin"),0,IF(OR(R2="BOGD",R2="BOGC",R2="BLGDB",R2="BLGCR"),IF(AND(I2&gt;=$AE$3,I2&lt;=$AF$3),P2*$AD$3,IF(AND(I2&gt;=$AE$4,I2&lt;=$AF$4),P2*$AD$4,IF(AND(I2&gt;=$AE$5,I2&lt;=$AF$5),P2*$AD$5,IF(AND(I2&gt;=$AE$6,I2&lt;=$AF$6),P2*$AD$6,P2*$AD$7)))),IF(AND(I2&gt;=$AE$3,I2&lt;=$AF$3),Q2*$AD$3,IF(AND(I2&gt;=$AE$4,I2&lt;=$AF$4),Q2*$AD$4,IF(AND(I2&gt;=$AE$5,I2&lt;=$AF$5),Q2*$AD$5,IF(AND(I2&gt;=$AE$6,I2&lt;=$AF$6),Q2*$AD$6,Q2*$AD$7)))))))</f>
        <v>541.88750000000005</v>
      </c>
      <c r="AD2" t="s">
        <v>47</v>
      </c>
      <c r="AE2" t="s">
        <v>112</v>
      </c>
      <c r="AF2" t="s">
        <v>113</v>
      </c>
    </row>
    <row r="3" spans="1:32" ht="15" customHeight="1" x14ac:dyDescent="0.25">
      <c r="A3" s="10">
        <f t="shared" si="0"/>
        <v>2</v>
      </c>
      <c r="B3" s="6" t="str">
        <f t="shared" si="1"/>
        <v>71020192524IE</v>
      </c>
      <c r="C3" s="1">
        <v>10574</v>
      </c>
      <c r="D3" s="1" t="s">
        <v>1005</v>
      </c>
      <c r="E3" s="1" t="str">
        <f t="shared" si="2"/>
        <v>External</v>
      </c>
      <c r="F3" s="1">
        <v>2524</v>
      </c>
      <c r="G3" s="37" t="str">
        <f>VLOOKUP(Table1[[#This Row],[WO'#]],Table2[#All],2,FALSE)</f>
        <v>Las Vegas Valley</v>
      </c>
      <c r="H3" s="20">
        <v>43677</v>
      </c>
      <c r="I3" s="2">
        <v>43656</v>
      </c>
      <c r="J3" s="4">
        <f t="shared" si="3"/>
        <v>10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9.25</v>
      </c>
      <c r="Q3" s="3">
        <f t="shared" si="4"/>
        <v>9.25</v>
      </c>
      <c r="R3" s="1" t="s">
        <v>971</v>
      </c>
      <c r="S3" s="1" t="s">
        <v>23</v>
      </c>
      <c r="T3" s="3">
        <f t="shared" si="5"/>
        <v>9.25</v>
      </c>
      <c r="U3" s="44">
        <f>IF(Table1[[#This Row],[Initials]]="RM",$AE$10,IF(Table1[[#This Row],[Initials]]="JPH",$AE$11,IF(Table1[[#This Row],[Initials]]="IE",$AE$13,IF(Table1[[#This Row],[Initials]]="JM",$AE$14,1))))</f>
        <v>1</v>
      </c>
      <c r="V3" s="3">
        <f>Table1[[#This Row],[FTE %]]*Table1[[#This Row],[Time Worked]]</f>
        <v>9.25</v>
      </c>
      <c r="W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572.85249999999996</v>
      </c>
      <c r="X3" s="38">
        <f t="shared" si="6"/>
        <v>0</v>
      </c>
      <c r="Y3" s="18">
        <f t="shared" si="7"/>
        <v>572.85249999999996</v>
      </c>
      <c r="AD3" s="8">
        <v>45.25</v>
      </c>
      <c r="AE3" s="7">
        <v>42370</v>
      </c>
      <c r="AF3" s="7">
        <v>42735</v>
      </c>
    </row>
    <row r="4" spans="1:32" ht="15" customHeight="1" thickBot="1" x14ac:dyDescent="0.3">
      <c r="A4" s="10">
        <f t="shared" si="0"/>
        <v>3</v>
      </c>
      <c r="B4" s="6" t="str">
        <f t="shared" si="1"/>
        <v>71120192524IE</v>
      </c>
      <c r="C4" s="1">
        <v>10574</v>
      </c>
      <c r="D4" s="1" t="s">
        <v>1005</v>
      </c>
      <c r="E4" s="1" t="str">
        <f t="shared" si="2"/>
        <v>External</v>
      </c>
      <c r="F4" s="1">
        <v>2524</v>
      </c>
      <c r="G4" s="37" t="str">
        <f>VLOOKUP(Table1[[#This Row],[WO'#]],Table2[#All],2,FALSE)</f>
        <v>Las Vegas Valley</v>
      </c>
      <c r="H4" s="20">
        <v>43677</v>
      </c>
      <c r="I4" s="2">
        <v>43657</v>
      </c>
      <c r="J4" s="4">
        <f t="shared" si="3"/>
        <v>11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3</v>
      </c>
      <c r="Q4" s="3">
        <f t="shared" si="4"/>
        <v>3</v>
      </c>
      <c r="R4" s="1" t="s">
        <v>971</v>
      </c>
      <c r="S4" s="1" t="s">
        <v>23</v>
      </c>
      <c r="T4" s="3">
        <f t="shared" si="5"/>
        <v>3</v>
      </c>
      <c r="U4" s="44">
        <f>IF(Table1[[#This Row],[Initials]]="RM",$AE$10,IF(Table1[[#This Row],[Initials]]="JPH",$AE$11,IF(Table1[[#This Row],[Initials]]="IE",$AE$13,IF(Table1[[#This Row],[Initials]]="JM",$AE$14,1))))</f>
        <v>1</v>
      </c>
      <c r="V4" s="3">
        <f>Table1[[#This Row],[FTE %]]*Table1[[#This Row],[Time Worked]]</f>
        <v>3</v>
      </c>
      <c r="W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" s="38">
        <f t="shared" si="6"/>
        <v>0</v>
      </c>
      <c r="Y4" s="18">
        <f t="shared" si="7"/>
        <v>185.79</v>
      </c>
      <c r="AD4" s="8">
        <v>47.75</v>
      </c>
      <c r="AE4" s="7">
        <v>42736</v>
      </c>
      <c r="AF4" s="7">
        <v>42916</v>
      </c>
    </row>
    <row r="5" spans="1:32" ht="15" customHeight="1" x14ac:dyDescent="0.25">
      <c r="A5" s="10">
        <f t="shared" si="0"/>
        <v>4</v>
      </c>
      <c r="B5" s="6" t="str">
        <f t="shared" si="1"/>
        <v>71220192524IE</v>
      </c>
      <c r="C5" s="1">
        <v>10574</v>
      </c>
      <c r="D5" s="1" t="s">
        <v>1005</v>
      </c>
      <c r="E5" s="1" t="str">
        <f t="shared" si="2"/>
        <v>External</v>
      </c>
      <c r="F5" s="1">
        <v>2524</v>
      </c>
      <c r="G5" s="37" t="str">
        <f>VLOOKUP(Table1[[#This Row],[WO'#]],Table2[#All],2,FALSE)</f>
        <v>Las Vegas Valley</v>
      </c>
      <c r="H5" s="20">
        <v>43677</v>
      </c>
      <c r="I5" s="2">
        <v>43658</v>
      </c>
      <c r="J5" s="4">
        <f t="shared" si="3"/>
        <v>12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3.5</v>
      </c>
      <c r="Q5" s="3">
        <f t="shared" si="4"/>
        <v>3.5</v>
      </c>
      <c r="R5" s="1" t="s">
        <v>971</v>
      </c>
      <c r="S5" s="1" t="s">
        <v>23</v>
      </c>
      <c r="T5" s="3">
        <f t="shared" si="5"/>
        <v>3.5</v>
      </c>
      <c r="U5" s="44">
        <f>IF(Table1[[#This Row],[Initials]]="RM",$AE$10,IF(Table1[[#This Row],[Initials]]="JPH",$AE$11,IF(Table1[[#This Row],[Initials]]="IE",$AE$13,IF(Table1[[#This Row],[Initials]]="JM",$AE$14,1))))</f>
        <v>1</v>
      </c>
      <c r="V5" s="3">
        <f>Table1[[#This Row],[FTE %]]*Table1[[#This Row],[Time Worked]]</f>
        <v>3.5</v>
      </c>
      <c r="W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5" s="38">
        <f t="shared" si="6"/>
        <v>0</v>
      </c>
      <c r="Y5" s="18">
        <f t="shared" si="7"/>
        <v>216.755</v>
      </c>
      <c r="AA5" s="11" t="s">
        <v>101</v>
      </c>
      <c r="AB5" s="12"/>
      <c r="AD5" s="8">
        <v>44.75</v>
      </c>
      <c r="AE5" s="7">
        <v>42917</v>
      </c>
      <c r="AF5" s="7">
        <v>43281</v>
      </c>
    </row>
    <row r="6" spans="1:32" ht="15" customHeight="1" x14ac:dyDescent="0.25">
      <c r="A6" s="10">
        <f t="shared" si="0"/>
        <v>5</v>
      </c>
      <c r="B6" s="6" t="str">
        <f t="shared" si="1"/>
        <v>71520192524IE</v>
      </c>
      <c r="C6" s="1">
        <v>10574</v>
      </c>
      <c r="D6" s="1" t="s">
        <v>1005</v>
      </c>
      <c r="E6" s="1" t="str">
        <f t="shared" si="2"/>
        <v>External</v>
      </c>
      <c r="F6" s="1">
        <v>2524</v>
      </c>
      <c r="G6" s="37" t="str">
        <f>VLOOKUP(Table1[[#This Row],[WO'#]],Table2[#All],2,FALSE)</f>
        <v>Las Vegas Valley</v>
      </c>
      <c r="H6" s="20">
        <v>43677</v>
      </c>
      <c r="I6" s="2">
        <v>43661</v>
      </c>
      <c r="J6" s="4">
        <f t="shared" si="3"/>
        <v>15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6.5</v>
      </c>
      <c r="Q6" s="3">
        <f t="shared" si="4"/>
        <v>6.5</v>
      </c>
      <c r="R6" s="1" t="s">
        <v>971</v>
      </c>
      <c r="S6" s="1" t="s">
        <v>23</v>
      </c>
      <c r="T6" s="3">
        <f t="shared" si="5"/>
        <v>6.5</v>
      </c>
      <c r="U6" s="44">
        <f>IF(Table1[[#This Row],[Initials]]="RM",$AE$10,IF(Table1[[#This Row],[Initials]]="JPH",$AE$11,IF(Table1[[#This Row],[Initials]]="IE",$AE$13,IF(Table1[[#This Row],[Initials]]="JM",$AE$14,1))))</f>
        <v>1</v>
      </c>
      <c r="V6" s="3">
        <f>Table1[[#This Row],[FTE %]]*Table1[[#This Row],[Time Worked]]</f>
        <v>6.5</v>
      </c>
      <c r="W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402.54500000000002</v>
      </c>
      <c r="X6" s="38">
        <f t="shared" si="6"/>
        <v>0</v>
      </c>
      <c r="Y6" s="18">
        <f t="shared" si="7"/>
        <v>402.54500000000002</v>
      </c>
      <c r="AA6" s="13" t="s">
        <v>65</v>
      </c>
      <c r="AB6" s="14" t="s">
        <v>66</v>
      </c>
      <c r="AD6" s="8">
        <v>48.38</v>
      </c>
      <c r="AE6" s="7">
        <v>43282</v>
      </c>
      <c r="AF6" s="7">
        <v>43646</v>
      </c>
    </row>
    <row r="7" spans="1:32" ht="15" customHeight="1" x14ac:dyDescent="0.25">
      <c r="A7" s="10">
        <f t="shared" si="0"/>
        <v>6</v>
      </c>
      <c r="B7" s="6" t="str">
        <f t="shared" si="1"/>
        <v>71620192524IE</v>
      </c>
      <c r="C7" s="1">
        <v>10574</v>
      </c>
      <c r="D7" s="1" t="s">
        <v>1005</v>
      </c>
      <c r="E7" s="1" t="str">
        <f t="shared" si="2"/>
        <v>External</v>
      </c>
      <c r="F7" s="1">
        <v>2524</v>
      </c>
      <c r="G7" s="37" t="str">
        <f>VLOOKUP(Table1[[#This Row],[WO'#]],Table2[#All],2,FALSE)</f>
        <v>Las Vegas Valley</v>
      </c>
      <c r="H7" s="20">
        <v>43677</v>
      </c>
      <c r="I7" s="2">
        <v>43662</v>
      </c>
      <c r="J7" s="4">
        <f t="shared" si="3"/>
        <v>16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7.5</v>
      </c>
      <c r="Q7" s="3">
        <f t="shared" si="4"/>
        <v>7.5</v>
      </c>
      <c r="R7" s="1" t="s">
        <v>971</v>
      </c>
      <c r="S7" s="1" t="s">
        <v>23</v>
      </c>
      <c r="T7" s="3">
        <f t="shared" si="5"/>
        <v>7.5</v>
      </c>
      <c r="U7" s="44">
        <f>IF(Table1[[#This Row],[Initials]]="RM",$AE$10,IF(Table1[[#This Row],[Initials]]="JPH",$AE$11,IF(Table1[[#This Row],[Initials]]="IE",$AE$13,IF(Table1[[#This Row],[Initials]]="JM",$AE$14,1))))</f>
        <v>1</v>
      </c>
      <c r="V7" s="3">
        <f>Table1[[#This Row],[FTE %]]*Table1[[#This Row],[Time Worked]]</f>
        <v>7.5</v>
      </c>
      <c r="W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7" s="38">
        <f t="shared" si="6"/>
        <v>0</v>
      </c>
      <c r="Y7" s="18">
        <f t="shared" si="7"/>
        <v>464.47500000000002</v>
      </c>
      <c r="AA7" s="13" t="s">
        <v>100</v>
      </c>
      <c r="AB7" s="14" t="s">
        <v>103</v>
      </c>
      <c r="AD7" s="8">
        <v>61.93</v>
      </c>
      <c r="AE7" s="7">
        <v>43647</v>
      </c>
      <c r="AF7" s="7">
        <v>44012</v>
      </c>
    </row>
    <row r="8" spans="1:32" ht="15" customHeight="1" x14ac:dyDescent="0.25">
      <c r="A8" s="10">
        <f t="shared" si="0"/>
        <v>7</v>
      </c>
      <c r="B8" s="6" t="str">
        <f t="shared" si="1"/>
        <v>71720192524IE</v>
      </c>
      <c r="C8" s="1">
        <v>10574</v>
      </c>
      <c r="D8" s="1" t="s">
        <v>1005</v>
      </c>
      <c r="E8" s="53" t="str">
        <f t="shared" si="2"/>
        <v>External</v>
      </c>
      <c r="F8" s="1">
        <v>2524</v>
      </c>
      <c r="G8" s="37" t="str">
        <f>VLOOKUP(Table1[[#This Row],[WO'#]],Table2[#All],2,FALSE)</f>
        <v>Las Vegas Valley</v>
      </c>
      <c r="H8" s="20">
        <v>43677</v>
      </c>
      <c r="I8" s="2">
        <v>43663</v>
      </c>
      <c r="J8" s="4">
        <f t="shared" si="3"/>
        <v>17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7</v>
      </c>
      <c r="Q8" s="3">
        <f t="shared" si="4"/>
        <v>7</v>
      </c>
      <c r="R8" s="1" t="s">
        <v>971</v>
      </c>
      <c r="S8" s="1" t="s">
        <v>23</v>
      </c>
      <c r="T8" s="3">
        <f t="shared" si="5"/>
        <v>7</v>
      </c>
      <c r="U8" s="44">
        <f>IF(Table1[[#This Row],[Initials]]="RM",$AE$10,IF(Table1[[#This Row],[Initials]]="JPH",$AE$11,IF(Table1[[#This Row],[Initials]]="IE",$AE$13,IF(Table1[[#This Row],[Initials]]="JM",$AE$14,1))))</f>
        <v>1</v>
      </c>
      <c r="V8" s="3">
        <f>Table1[[#This Row],[FTE %]]*Table1[[#This Row],[Time Worked]]</f>
        <v>7</v>
      </c>
      <c r="W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433.51</v>
      </c>
      <c r="X8" s="38">
        <f t="shared" si="6"/>
        <v>0</v>
      </c>
      <c r="Y8" s="18">
        <f t="shared" si="7"/>
        <v>433.51</v>
      </c>
      <c r="AA8" s="13"/>
      <c r="AB8" s="14"/>
    </row>
    <row r="9" spans="1:32" ht="15.75" customHeight="1" thickBot="1" x14ac:dyDescent="0.3">
      <c r="A9" s="10">
        <f t="shared" si="0"/>
        <v>8</v>
      </c>
      <c r="B9" s="6" t="str">
        <f t="shared" si="1"/>
        <v>71820192524IE</v>
      </c>
      <c r="C9" s="1">
        <v>10574</v>
      </c>
      <c r="D9" s="1" t="s">
        <v>1005</v>
      </c>
      <c r="E9" s="53" t="str">
        <f t="shared" si="2"/>
        <v>External</v>
      </c>
      <c r="F9" s="1">
        <v>2524</v>
      </c>
      <c r="G9" s="37" t="str">
        <f>VLOOKUP(Table1[[#This Row],[WO'#]],Table2[#All],2,FALSE)</f>
        <v>Las Vegas Valley</v>
      </c>
      <c r="H9" s="20">
        <v>43677</v>
      </c>
      <c r="I9" s="2">
        <v>43664</v>
      </c>
      <c r="J9" s="4">
        <f t="shared" si="3"/>
        <v>18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4.5</v>
      </c>
      <c r="Q9" s="3">
        <f t="shared" si="4"/>
        <v>4.5</v>
      </c>
      <c r="R9" s="1" t="s">
        <v>971</v>
      </c>
      <c r="S9" s="1" t="s">
        <v>23</v>
      </c>
      <c r="T9" s="3">
        <f t="shared" si="5"/>
        <v>4.5</v>
      </c>
      <c r="U9" s="44">
        <f>IF(Table1[[#This Row],[Initials]]="RM",$AE$10,IF(Table1[[#This Row],[Initials]]="JPH",$AE$11,IF(Table1[[#This Row],[Initials]]="IE",$AE$13,IF(Table1[[#This Row],[Initials]]="JM",$AE$14,1))))</f>
        <v>1</v>
      </c>
      <c r="V9" s="3">
        <f>Table1[[#This Row],[FTE %]]*Table1[[#This Row],[Time Worked]]</f>
        <v>4.5</v>
      </c>
      <c r="W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9" s="38">
        <f t="shared" si="6"/>
        <v>0</v>
      </c>
      <c r="Y9" s="18">
        <f t="shared" si="7"/>
        <v>278.685</v>
      </c>
      <c r="AA9" s="15" t="s">
        <v>1</v>
      </c>
      <c r="AB9" s="16" t="s">
        <v>107</v>
      </c>
      <c r="AD9" t="s">
        <v>987</v>
      </c>
    </row>
    <row r="10" spans="1:32" ht="15" customHeight="1" x14ac:dyDescent="0.25">
      <c r="A10" s="10">
        <f t="shared" si="0"/>
        <v>9</v>
      </c>
      <c r="B10" s="6" t="str">
        <f t="shared" si="1"/>
        <v>72220192524IE</v>
      </c>
      <c r="C10" s="1">
        <v>10574</v>
      </c>
      <c r="D10" s="1" t="s">
        <v>1005</v>
      </c>
      <c r="E10" s="53" t="str">
        <f t="shared" si="2"/>
        <v>External</v>
      </c>
      <c r="F10" s="1">
        <v>2524</v>
      </c>
      <c r="G10" s="37" t="str">
        <f>VLOOKUP(Table1[[#This Row],[WO'#]],Table2[#All],2,FALSE)</f>
        <v>Las Vegas Valley</v>
      </c>
      <c r="H10" s="20">
        <v>43677</v>
      </c>
      <c r="I10" s="2">
        <v>43668</v>
      </c>
      <c r="J10" s="4">
        <f t="shared" si="3"/>
        <v>22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6.25</v>
      </c>
      <c r="Q10" s="3">
        <f t="shared" si="4"/>
        <v>6.25</v>
      </c>
      <c r="R10" s="1" t="s">
        <v>971</v>
      </c>
      <c r="S10" s="1" t="s">
        <v>23</v>
      </c>
      <c r="T10" s="3">
        <f t="shared" si="5"/>
        <v>6.25</v>
      </c>
      <c r="U10" s="44">
        <f>IF(Table1[[#This Row],[Initials]]="RM",$AE$10,IF(Table1[[#This Row],[Initials]]="JPH",$AE$11,IF(Table1[[#This Row],[Initials]]="IE",$AE$13,IF(Table1[[#This Row],[Initials]]="JM",$AE$14,1))))</f>
        <v>1</v>
      </c>
      <c r="V10" s="3">
        <f>Table1[[#This Row],[FTE %]]*Table1[[#This Row],[Time Worked]]</f>
        <v>6.25</v>
      </c>
      <c r="W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387.0625</v>
      </c>
      <c r="X10" s="38">
        <f t="shared" si="6"/>
        <v>0</v>
      </c>
      <c r="Y10" s="18">
        <f t="shared" si="7"/>
        <v>387.0625</v>
      </c>
      <c r="AA10" s="11" t="s">
        <v>102</v>
      </c>
      <c r="AB10" s="12"/>
      <c r="AD10" t="s">
        <v>990</v>
      </c>
      <c r="AE10" s="43">
        <v>0.5</v>
      </c>
      <c r="AF10" s="7">
        <v>43466</v>
      </c>
    </row>
    <row r="11" spans="1:32" ht="15" customHeight="1" x14ac:dyDescent="0.25">
      <c r="A11" s="10">
        <f t="shared" si="0"/>
        <v>10</v>
      </c>
      <c r="B11" s="6" t="str">
        <f t="shared" si="1"/>
        <v>72320192524IE</v>
      </c>
      <c r="C11" s="1">
        <v>10574</v>
      </c>
      <c r="D11" s="1" t="s">
        <v>1005</v>
      </c>
      <c r="E11" s="53" t="str">
        <f t="shared" si="2"/>
        <v>External</v>
      </c>
      <c r="F11" s="1">
        <v>2524</v>
      </c>
      <c r="G11" s="37" t="str">
        <f>VLOOKUP(Table1[[#This Row],[WO'#]],Table2[#All],2,FALSE)</f>
        <v>Las Vegas Valley</v>
      </c>
      <c r="H11" s="20">
        <v>43677</v>
      </c>
      <c r="I11" s="2">
        <v>43669</v>
      </c>
      <c r="J11" s="4">
        <f t="shared" si="3"/>
        <v>23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8.5</v>
      </c>
      <c r="Q11" s="3">
        <f t="shared" si="4"/>
        <v>8.5</v>
      </c>
      <c r="R11" s="1" t="s">
        <v>971</v>
      </c>
      <c r="S11" s="1" t="s">
        <v>23</v>
      </c>
      <c r="T11" s="3">
        <f t="shared" si="5"/>
        <v>8.5</v>
      </c>
      <c r="U11" s="44">
        <f>IF(Table1[[#This Row],[Initials]]="RM",$AE$10,IF(Table1[[#This Row],[Initials]]="JPH",$AE$11,IF(Table1[[#This Row],[Initials]]="IE",$AE$13,IF(Table1[[#This Row],[Initials]]="JM",$AE$14,1))))</f>
        <v>1</v>
      </c>
      <c r="V11" s="3">
        <f>Table1[[#This Row],[FTE %]]*Table1[[#This Row],[Time Worked]]</f>
        <v>8.5</v>
      </c>
      <c r="W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526.40499999999997</v>
      </c>
      <c r="X11" s="38">
        <f t="shared" si="6"/>
        <v>0</v>
      </c>
      <c r="Y11" s="18">
        <f t="shared" si="7"/>
        <v>526.40499999999997</v>
      </c>
      <c r="AA11" s="13" t="s">
        <v>81</v>
      </c>
      <c r="AB11" s="14" t="s">
        <v>82</v>
      </c>
      <c r="AD11" t="s">
        <v>991</v>
      </c>
      <c r="AE11" s="43">
        <v>0.53</v>
      </c>
    </row>
    <row r="12" spans="1:32" ht="15.75" customHeight="1" thickBot="1" x14ac:dyDescent="0.3">
      <c r="A12" s="10">
        <f t="shared" si="0"/>
        <v>11</v>
      </c>
      <c r="B12" s="6" t="str">
        <f t="shared" si="1"/>
        <v>72420192524IE</v>
      </c>
      <c r="C12" s="1">
        <v>10574</v>
      </c>
      <c r="D12" s="1" t="s">
        <v>1005</v>
      </c>
      <c r="E12" s="53" t="str">
        <f t="shared" si="2"/>
        <v>External</v>
      </c>
      <c r="F12" s="1">
        <v>2524</v>
      </c>
      <c r="G12" s="37" t="str">
        <f>VLOOKUP(Table1[[#This Row],[WO'#]],Table2[#All],2,FALSE)</f>
        <v>Las Vegas Valley</v>
      </c>
      <c r="H12" s="20">
        <v>43677</v>
      </c>
      <c r="I12" s="2">
        <v>43670</v>
      </c>
      <c r="J12" s="4">
        <f t="shared" si="3"/>
        <v>24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4.5</v>
      </c>
      <c r="Q12" s="3">
        <f t="shared" si="4"/>
        <v>4.5</v>
      </c>
      <c r="R12" s="1" t="s">
        <v>971</v>
      </c>
      <c r="S12" s="1" t="s">
        <v>23</v>
      </c>
      <c r="T12" s="3">
        <f t="shared" si="5"/>
        <v>4.5</v>
      </c>
      <c r="U12" s="44">
        <f>IF(Table1[[#This Row],[Initials]]="RM",$AE$10,IF(Table1[[#This Row],[Initials]]="JPH",$AE$11,IF(Table1[[#This Row],[Initials]]="IE",$AE$13,IF(Table1[[#This Row],[Initials]]="JM",$AE$14,1))))</f>
        <v>1</v>
      </c>
      <c r="V12" s="3">
        <f>Table1[[#This Row],[FTE %]]*Table1[[#This Row],[Time Worked]]</f>
        <v>4.5</v>
      </c>
      <c r="W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12" s="38">
        <f t="shared" si="6"/>
        <v>0</v>
      </c>
      <c r="Y12" s="18">
        <f t="shared" si="7"/>
        <v>278.685</v>
      </c>
      <c r="AA12" s="15"/>
      <c r="AB12" s="16"/>
      <c r="AD12" t="s">
        <v>992</v>
      </c>
      <c r="AE12" s="43">
        <v>1</v>
      </c>
    </row>
    <row r="13" spans="1:32" ht="15" customHeight="1" x14ac:dyDescent="0.25">
      <c r="A13" s="10">
        <f t="shared" si="0"/>
        <v>12</v>
      </c>
      <c r="B13" s="6" t="str">
        <f t="shared" si="1"/>
        <v>72520192524IE</v>
      </c>
      <c r="C13" s="1">
        <v>10574</v>
      </c>
      <c r="D13" s="1" t="s">
        <v>1005</v>
      </c>
      <c r="E13" s="53" t="str">
        <f t="shared" si="2"/>
        <v>External</v>
      </c>
      <c r="F13" s="1">
        <v>2524</v>
      </c>
      <c r="G13" s="37" t="str">
        <f>VLOOKUP(Table1[[#This Row],[WO'#]],Table2[#All],2,FALSE)</f>
        <v>Las Vegas Valley</v>
      </c>
      <c r="H13" s="20">
        <v>43677</v>
      </c>
      <c r="I13" s="2">
        <v>43671</v>
      </c>
      <c r="J13" s="4">
        <f t="shared" si="3"/>
        <v>25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4.5</v>
      </c>
      <c r="Q13" s="3">
        <f t="shared" si="4"/>
        <v>4.5</v>
      </c>
      <c r="R13" s="1" t="s">
        <v>971</v>
      </c>
      <c r="S13" s="1" t="s">
        <v>23</v>
      </c>
      <c r="T13" s="3">
        <f t="shared" si="5"/>
        <v>4.5</v>
      </c>
      <c r="U13" s="44">
        <f>IF(Table1[[#This Row],[Initials]]="RM",$AE$10,IF(Table1[[#This Row],[Initials]]="JPH",$AE$11,IF(Table1[[#This Row],[Initials]]="IE",$AE$13,IF(Table1[[#This Row],[Initials]]="JM",$AE$14,1))))</f>
        <v>1</v>
      </c>
      <c r="V13" s="3">
        <f>Table1[[#This Row],[FTE %]]*Table1[[#This Row],[Time Worked]]</f>
        <v>4.5</v>
      </c>
      <c r="W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13" s="38">
        <f t="shared" si="6"/>
        <v>0</v>
      </c>
      <c r="Y13" s="18">
        <f t="shared" si="7"/>
        <v>278.685</v>
      </c>
      <c r="AA13" s="11" t="s">
        <v>104</v>
      </c>
      <c r="AB13" s="12"/>
      <c r="AD13" t="s">
        <v>993</v>
      </c>
      <c r="AE13" s="43">
        <v>1</v>
      </c>
    </row>
    <row r="14" spans="1:32" ht="15" customHeight="1" x14ac:dyDescent="0.25">
      <c r="A14" s="10">
        <f t="shared" si="0"/>
        <v>13</v>
      </c>
      <c r="B14" s="6" t="str">
        <f t="shared" si="1"/>
        <v>7120192627JPH</v>
      </c>
      <c r="C14" s="1">
        <v>10575</v>
      </c>
      <c r="D14" s="1" t="s">
        <v>1006</v>
      </c>
      <c r="E14" s="1" t="str">
        <f t="shared" si="2"/>
        <v>Internal</v>
      </c>
      <c r="F14" s="1">
        <v>2627</v>
      </c>
      <c r="G14" s="37" t="str">
        <f>VLOOKUP(Table1[[#This Row],[WO'#]],Table2[#All],2,FALSE)</f>
        <v>2020 Nevada Geology Calendar</v>
      </c>
      <c r="H14" s="20">
        <v>43677</v>
      </c>
      <c r="I14" s="2">
        <v>43647</v>
      </c>
      <c r="J14" s="4">
        <f t="shared" si="3"/>
        <v>1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4.25</v>
      </c>
      <c r="Q14" s="3">
        <f t="shared" si="4"/>
        <v>4.25</v>
      </c>
      <c r="R14" s="1" t="s">
        <v>970</v>
      </c>
      <c r="S14" s="1" t="s">
        <v>23</v>
      </c>
      <c r="T14" s="3">
        <f t="shared" si="5"/>
        <v>4.25</v>
      </c>
      <c r="U14" s="44">
        <f>IF(Table1[[#This Row],[Initials]]="RM",$AE$10,IF(Table1[[#This Row],[Initials]]="JPH",$AE$11,IF(Table1[[#This Row],[Initials]]="IE",$AE$13,IF(Table1[[#This Row],[Initials]]="JM",$AE$14,1))))</f>
        <v>0.53</v>
      </c>
      <c r="V14" s="3">
        <f>Table1[[#This Row],[FTE %]]*Table1[[#This Row],[Time Worked]]</f>
        <v>2.2524999999999999</v>
      </c>
      <c r="W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4" s="38">
        <f t="shared" si="6"/>
        <v>0</v>
      </c>
      <c r="Y14" s="18">
        <f t="shared" si="7"/>
        <v>263.20249999999999</v>
      </c>
      <c r="AA14" s="13" t="s">
        <v>109</v>
      </c>
      <c r="AB14" s="14" t="s">
        <v>110</v>
      </c>
      <c r="AD14" t="s">
        <v>994</v>
      </c>
      <c r="AE14" s="43">
        <v>0.39500000000000002</v>
      </c>
      <c r="AF14" s="43">
        <f>1-AE14</f>
        <v>0.60499999999999998</v>
      </c>
    </row>
    <row r="15" spans="1:32" ht="15" customHeight="1" x14ac:dyDescent="0.25">
      <c r="A15" s="10">
        <f t="shared" si="0"/>
        <v>14</v>
      </c>
      <c r="B15" s="6" t="str">
        <f t="shared" si="1"/>
        <v>7220192627JPH</v>
      </c>
      <c r="C15" s="1">
        <v>10575</v>
      </c>
      <c r="D15" s="1" t="s">
        <v>1006</v>
      </c>
      <c r="E15" s="1" t="str">
        <f t="shared" si="2"/>
        <v>Internal</v>
      </c>
      <c r="F15" s="1">
        <v>2627</v>
      </c>
      <c r="G15" s="37" t="str">
        <f>VLOOKUP(Table1[[#This Row],[WO'#]],Table2[#All],2,FALSE)</f>
        <v>2020 Nevada Geology Calendar</v>
      </c>
      <c r="H15" s="20">
        <v>43677</v>
      </c>
      <c r="I15" s="2">
        <v>43648</v>
      </c>
      <c r="J15" s="4">
        <f t="shared" si="3"/>
        <v>2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4.25</v>
      </c>
      <c r="Q15" s="3">
        <f t="shared" si="4"/>
        <v>4.25</v>
      </c>
      <c r="R15" s="1" t="s">
        <v>970</v>
      </c>
      <c r="S15" s="1" t="s">
        <v>23</v>
      </c>
      <c r="T15" s="3">
        <f t="shared" si="5"/>
        <v>4.25</v>
      </c>
      <c r="U15" s="44">
        <f>IF(Table1[[#This Row],[Initials]]="RM",$AE$10,IF(Table1[[#This Row],[Initials]]="JPH",$AE$11,IF(Table1[[#This Row],[Initials]]="IE",$AE$13,IF(Table1[[#This Row],[Initials]]="JM",$AE$14,1))))</f>
        <v>0.53</v>
      </c>
      <c r="V15" s="3">
        <f>Table1[[#This Row],[FTE %]]*Table1[[#This Row],[Time Worked]]</f>
        <v>2.2524999999999999</v>
      </c>
      <c r="W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5" s="38">
        <f t="shared" si="6"/>
        <v>0</v>
      </c>
      <c r="Y15" s="18">
        <f t="shared" si="7"/>
        <v>263.20249999999999</v>
      </c>
      <c r="AA15" s="17" t="s">
        <v>108</v>
      </c>
      <c r="AB15" s="14" t="s">
        <v>111</v>
      </c>
    </row>
    <row r="16" spans="1:32" ht="15" customHeight="1" x14ac:dyDescent="0.25">
      <c r="A16" s="10">
        <f t="shared" si="0"/>
        <v>15</v>
      </c>
      <c r="B16" s="6" t="str">
        <f t="shared" si="1"/>
        <v>7320192627JPH</v>
      </c>
      <c r="C16" s="1">
        <v>10575</v>
      </c>
      <c r="D16" s="1" t="s">
        <v>1006</v>
      </c>
      <c r="E16" s="1" t="str">
        <f t="shared" si="2"/>
        <v>Internal</v>
      </c>
      <c r="F16" s="1">
        <v>2627</v>
      </c>
      <c r="G16" s="37" t="str">
        <f>VLOOKUP(Table1[[#This Row],[WO'#]],Table2[#All],2,FALSE)</f>
        <v>2020 Nevada Geology Calendar</v>
      </c>
      <c r="H16" s="20">
        <v>43677</v>
      </c>
      <c r="I16" s="2">
        <v>43649</v>
      </c>
      <c r="J16" s="4">
        <f t="shared" si="3"/>
        <v>3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4.25</v>
      </c>
      <c r="Q16" s="3">
        <f t="shared" si="4"/>
        <v>4.25</v>
      </c>
      <c r="R16" s="1" t="s">
        <v>970</v>
      </c>
      <c r="S16" s="1" t="s">
        <v>23</v>
      </c>
      <c r="T16" s="3">
        <f t="shared" si="5"/>
        <v>4.25</v>
      </c>
      <c r="U16" s="44">
        <f>IF(Table1[[#This Row],[Initials]]="RM",$AE$10,IF(Table1[[#This Row],[Initials]]="JPH",$AE$11,IF(Table1[[#This Row],[Initials]]="IE",$AE$13,IF(Table1[[#This Row],[Initials]]="JM",$AE$14,1))))</f>
        <v>0.53</v>
      </c>
      <c r="V16" s="3">
        <f>Table1[[#This Row],[FTE %]]*Table1[[#This Row],[Time Worked]]</f>
        <v>2.2524999999999999</v>
      </c>
      <c r="W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6" s="38">
        <f t="shared" si="6"/>
        <v>0</v>
      </c>
      <c r="Y16" s="18">
        <f t="shared" si="7"/>
        <v>263.20249999999999</v>
      </c>
      <c r="AA16" s="13" t="s">
        <v>58</v>
      </c>
      <c r="AB16" s="14" t="s">
        <v>105</v>
      </c>
    </row>
    <row r="17" spans="1:28" ht="15.75" customHeight="1" thickBot="1" x14ac:dyDescent="0.3">
      <c r="A17" s="10">
        <f t="shared" si="0"/>
        <v>16</v>
      </c>
      <c r="B17" s="6" t="str">
        <f t="shared" si="1"/>
        <v>7820192627JPH</v>
      </c>
      <c r="C17" s="1">
        <v>10575</v>
      </c>
      <c r="D17" s="1" t="s">
        <v>1006</v>
      </c>
      <c r="E17" s="53" t="str">
        <f t="shared" si="2"/>
        <v>Internal</v>
      </c>
      <c r="F17" s="1">
        <v>2627</v>
      </c>
      <c r="G17" s="37" t="str">
        <f>VLOOKUP(Table1[[#This Row],[WO'#]],Table2[#All],2,FALSE)</f>
        <v>2020 Nevada Geology Calendar</v>
      </c>
      <c r="H17" s="20">
        <v>43677</v>
      </c>
      <c r="I17" s="2">
        <v>43654</v>
      </c>
      <c r="J17" s="4">
        <f t="shared" si="3"/>
        <v>8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4.25</v>
      </c>
      <c r="Q17" s="3">
        <f t="shared" si="4"/>
        <v>4.25</v>
      </c>
      <c r="R17" s="1" t="s">
        <v>970</v>
      </c>
      <c r="S17" s="1" t="s">
        <v>23</v>
      </c>
      <c r="T17" s="3">
        <f t="shared" si="5"/>
        <v>4.25</v>
      </c>
      <c r="U17" s="44">
        <f>IF(Table1[[#This Row],[Initials]]="RM",$AE$10,IF(Table1[[#This Row],[Initials]]="JPH",$AE$11,IF(Table1[[#This Row],[Initials]]="IE",$AE$13,IF(Table1[[#This Row],[Initials]]="JM",$AE$14,1))))</f>
        <v>0.53</v>
      </c>
      <c r="V17" s="3">
        <f>Table1[[#This Row],[FTE %]]*Table1[[#This Row],[Time Worked]]</f>
        <v>2.2524999999999999</v>
      </c>
      <c r="W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7" s="38">
        <f t="shared" si="6"/>
        <v>0</v>
      </c>
      <c r="Y17" s="18">
        <f t="shared" si="7"/>
        <v>263.20249999999999</v>
      </c>
      <c r="AA17" s="15" t="s">
        <v>59</v>
      </c>
      <c r="AB17" s="16" t="s">
        <v>106</v>
      </c>
    </row>
    <row r="18" spans="1:28" ht="15" customHeight="1" x14ac:dyDescent="0.25">
      <c r="A18" s="10">
        <f t="shared" si="0"/>
        <v>17</v>
      </c>
      <c r="B18" s="6" t="str">
        <f t="shared" si="1"/>
        <v>7920192627JPH</v>
      </c>
      <c r="C18" s="1">
        <v>10575</v>
      </c>
      <c r="D18" s="1" t="s">
        <v>1006</v>
      </c>
      <c r="E18" s="53" t="str">
        <f t="shared" si="2"/>
        <v>Internal</v>
      </c>
      <c r="F18" s="1">
        <v>2627</v>
      </c>
      <c r="G18" s="37" t="str">
        <f>VLOOKUP(Table1[[#This Row],[WO'#]],Table2[#All],2,FALSE)</f>
        <v>2020 Nevada Geology Calendar</v>
      </c>
      <c r="H18" s="20">
        <v>43677</v>
      </c>
      <c r="I18" s="2">
        <v>43655</v>
      </c>
      <c r="J18" s="4">
        <f t="shared" si="3"/>
        <v>9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4.25</v>
      </c>
      <c r="Q18" s="3">
        <f t="shared" si="4"/>
        <v>4.25</v>
      </c>
      <c r="R18" s="1" t="s">
        <v>970</v>
      </c>
      <c r="S18" s="1" t="s">
        <v>23</v>
      </c>
      <c r="T18" s="3">
        <f t="shared" si="5"/>
        <v>4.25</v>
      </c>
      <c r="U18" s="44">
        <f>IF(Table1[[#This Row],[Initials]]="RM",$AE$10,IF(Table1[[#This Row],[Initials]]="JPH",$AE$11,IF(Table1[[#This Row],[Initials]]="IE",$AE$13,IF(Table1[[#This Row],[Initials]]="JM",$AE$14,1))))</f>
        <v>0.53</v>
      </c>
      <c r="V18" s="3">
        <f>Table1[[#This Row],[FTE %]]*Table1[[#This Row],[Time Worked]]</f>
        <v>2.2524999999999999</v>
      </c>
      <c r="W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8" s="38">
        <f t="shared" si="6"/>
        <v>0</v>
      </c>
      <c r="Y18" s="18">
        <f t="shared" si="7"/>
        <v>263.20249999999999</v>
      </c>
    </row>
    <row r="19" spans="1:28" ht="15" customHeight="1" x14ac:dyDescent="0.25">
      <c r="A19" s="10">
        <f t="shared" si="0"/>
        <v>18</v>
      </c>
      <c r="B19" s="6" t="str">
        <f t="shared" si="1"/>
        <v>71020192627JPH</v>
      </c>
      <c r="C19" s="1">
        <v>10575</v>
      </c>
      <c r="D19" s="1" t="s">
        <v>1006</v>
      </c>
      <c r="E19" s="53" t="str">
        <f t="shared" si="2"/>
        <v>Internal</v>
      </c>
      <c r="F19" s="1">
        <v>2627</v>
      </c>
      <c r="G19" s="37" t="str">
        <f>VLOOKUP(Table1[[#This Row],[WO'#]],Table2[#All],2,FALSE)</f>
        <v>2020 Nevada Geology Calendar</v>
      </c>
      <c r="H19" s="20">
        <v>43677</v>
      </c>
      <c r="I19" s="2">
        <v>43656</v>
      </c>
      <c r="J19" s="4">
        <f t="shared" si="3"/>
        <v>10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4.25</v>
      </c>
      <c r="Q19" s="3">
        <f t="shared" si="4"/>
        <v>4.25</v>
      </c>
      <c r="R19" s="1" t="s">
        <v>970</v>
      </c>
      <c r="S19" s="1" t="s">
        <v>23</v>
      </c>
      <c r="T19" s="3">
        <f t="shared" si="5"/>
        <v>4.25</v>
      </c>
      <c r="U19" s="44">
        <f>IF(Table1[[#This Row],[Initials]]="RM",$AE$10,IF(Table1[[#This Row],[Initials]]="JPH",$AE$11,IF(Table1[[#This Row],[Initials]]="IE",$AE$13,IF(Table1[[#This Row],[Initials]]="JM",$AE$14,1))))</f>
        <v>0.53</v>
      </c>
      <c r="V19" s="3">
        <f>Table1[[#This Row],[FTE %]]*Table1[[#This Row],[Time Worked]]</f>
        <v>2.2524999999999999</v>
      </c>
      <c r="W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9" s="38">
        <f t="shared" si="6"/>
        <v>0</v>
      </c>
      <c r="Y19" s="18">
        <f t="shared" si="7"/>
        <v>263.20249999999999</v>
      </c>
      <c r="AA19" s="42" t="s">
        <v>973</v>
      </c>
    </row>
    <row r="20" spans="1:28" ht="15" customHeight="1" thickBot="1" x14ac:dyDescent="0.35">
      <c r="A20" s="10">
        <f t="shared" si="0"/>
        <v>19</v>
      </c>
      <c r="B20" s="6" t="str">
        <f t="shared" si="1"/>
        <v>71120192627JPH</v>
      </c>
      <c r="C20" s="1">
        <v>10575</v>
      </c>
      <c r="D20" s="1" t="s">
        <v>1006</v>
      </c>
      <c r="E20" s="53" t="str">
        <f t="shared" si="2"/>
        <v>Internal</v>
      </c>
      <c r="F20" s="1">
        <v>2627</v>
      </c>
      <c r="G20" s="37" t="str">
        <f>VLOOKUP(Table1[[#This Row],[WO'#]],Table2[#All],2,FALSE)</f>
        <v>2020 Nevada Geology Calendar</v>
      </c>
      <c r="H20" s="20">
        <v>43677</v>
      </c>
      <c r="I20" s="2">
        <v>43657</v>
      </c>
      <c r="J20" s="4">
        <f t="shared" si="3"/>
        <v>11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4.25</v>
      </c>
      <c r="Q20" s="3">
        <f t="shared" si="4"/>
        <v>4.25</v>
      </c>
      <c r="R20" s="1" t="s">
        <v>970</v>
      </c>
      <c r="S20" s="1" t="s">
        <v>23</v>
      </c>
      <c r="T20" s="3">
        <f t="shared" si="5"/>
        <v>4.25</v>
      </c>
      <c r="U20" s="44">
        <f>IF(Table1[[#This Row],[Initials]]="RM",$AE$10,IF(Table1[[#This Row],[Initials]]="JPH",$AE$11,IF(Table1[[#This Row],[Initials]]="IE",$AE$13,IF(Table1[[#This Row],[Initials]]="JM",$AE$14,1))))</f>
        <v>0.53</v>
      </c>
      <c r="V20" s="3">
        <f>Table1[[#This Row],[FTE %]]*Table1[[#This Row],[Time Worked]]</f>
        <v>2.2524999999999999</v>
      </c>
      <c r="W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0" s="38">
        <f t="shared" si="6"/>
        <v>0</v>
      </c>
      <c r="Y20" s="18">
        <f t="shared" si="7"/>
        <v>263.20249999999999</v>
      </c>
      <c r="AA20" s="36">
        <f>Table1[[#Totals],[Total Billed]]</f>
        <v>26527.368692000015</v>
      </c>
    </row>
    <row r="21" spans="1:28" ht="15" customHeight="1" thickTop="1" x14ac:dyDescent="0.25">
      <c r="A21" s="10">
        <f t="shared" si="0"/>
        <v>20</v>
      </c>
      <c r="B21" s="6" t="str">
        <f t="shared" si="1"/>
        <v>71220192627JPH</v>
      </c>
      <c r="C21" s="1">
        <v>10575</v>
      </c>
      <c r="D21" s="1" t="s">
        <v>1006</v>
      </c>
      <c r="E21" s="53" t="str">
        <f t="shared" si="2"/>
        <v>Internal</v>
      </c>
      <c r="F21" s="1">
        <v>2627</v>
      </c>
      <c r="G21" s="37" t="str">
        <f>VLOOKUP(Table1[[#This Row],[WO'#]],Table2[#All],2,FALSE)</f>
        <v>2020 Nevada Geology Calendar</v>
      </c>
      <c r="H21" s="20">
        <v>43677</v>
      </c>
      <c r="I21" s="2">
        <v>43658</v>
      </c>
      <c r="J21" s="4">
        <f t="shared" si="3"/>
        <v>12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4.25</v>
      </c>
      <c r="Q21" s="3">
        <f t="shared" si="4"/>
        <v>4.25</v>
      </c>
      <c r="R21" s="1" t="s">
        <v>970</v>
      </c>
      <c r="S21" s="1" t="s">
        <v>23</v>
      </c>
      <c r="T21" s="3">
        <f t="shared" si="5"/>
        <v>4.25</v>
      </c>
      <c r="U21" s="44">
        <f>IF(Table1[[#This Row],[Initials]]="RM",$AE$10,IF(Table1[[#This Row],[Initials]]="JPH",$AE$11,IF(Table1[[#This Row],[Initials]]="IE",$AE$13,IF(Table1[[#This Row],[Initials]]="JM",$AE$14,1))))</f>
        <v>0.53</v>
      </c>
      <c r="V21" s="3">
        <f>Table1[[#This Row],[FTE %]]*Table1[[#This Row],[Time Worked]]</f>
        <v>2.2524999999999999</v>
      </c>
      <c r="W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1" s="38">
        <f t="shared" si="6"/>
        <v>0</v>
      </c>
      <c r="Y21" s="18">
        <f t="shared" si="7"/>
        <v>263.20249999999999</v>
      </c>
    </row>
    <row r="22" spans="1:28" ht="15" customHeight="1" x14ac:dyDescent="0.25">
      <c r="A22" s="10">
        <f t="shared" si="0"/>
        <v>21</v>
      </c>
      <c r="B22" s="6" t="str">
        <f t="shared" si="1"/>
        <v>71520192627JPH</v>
      </c>
      <c r="C22" s="1">
        <v>10575</v>
      </c>
      <c r="D22" s="1" t="s">
        <v>1006</v>
      </c>
      <c r="E22" s="53" t="str">
        <f t="shared" si="2"/>
        <v>Internal</v>
      </c>
      <c r="F22" s="1">
        <v>2627</v>
      </c>
      <c r="G22" s="37" t="str">
        <f>VLOOKUP(Table1[[#This Row],[WO'#]],Table2[#All],2,FALSE)</f>
        <v>2020 Nevada Geology Calendar</v>
      </c>
      <c r="H22" s="20">
        <v>43677</v>
      </c>
      <c r="I22" s="2">
        <v>43661</v>
      </c>
      <c r="J22" s="4">
        <f t="shared" si="3"/>
        <v>15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4.25</v>
      </c>
      <c r="Q22" s="3">
        <f t="shared" si="4"/>
        <v>4.25</v>
      </c>
      <c r="R22" s="1" t="s">
        <v>970</v>
      </c>
      <c r="S22" s="1" t="s">
        <v>23</v>
      </c>
      <c r="T22" s="3">
        <f t="shared" si="5"/>
        <v>4.25</v>
      </c>
      <c r="U22" s="44">
        <f>IF(Table1[[#This Row],[Initials]]="RM",$AE$10,IF(Table1[[#This Row],[Initials]]="JPH",$AE$11,IF(Table1[[#This Row],[Initials]]="IE",$AE$13,IF(Table1[[#This Row],[Initials]]="JM",$AE$14,1))))</f>
        <v>0.53</v>
      </c>
      <c r="V22" s="3">
        <f>Table1[[#This Row],[FTE %]]*Table1[[#This Row],[Time Worked]]</f>
        <v>2.2524999999999999</v>
      </c>
      <c r="W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2" s="38">
        <f t="shared" si="6"/>
        <v>0</v>
      </c>
      <c r="Y22" s="18">
        <f t="shared" si="7"/>
        <v>263.20249999999999</v>
      </c>
      <c r="AA22" s="42" t="s">
        <v>974</v>
      </c>
    </row>
    <row r="23" spans="1:28" ht="15" customHeight="1" thickBot="1" x14ac:dyDescent="0.35">
      <c r="A23" s="10">
        <f t="shared" si="0"/>
        <v>22</v>
      </c>
      <c r="B23" s="6" t="str">
        <f t="shared" si="1"/>
        <v>71620192627JPH</v>
      </c>
      <c r="C23" s="1">
        <v>10575</v>
      </c>
      <c r="D23" s="1" t="s">
        <v>1006</v>
      </c>
      <c r="E23" s="53" t="str">
        <f t="shared" si="2"/>
        <v>Internal</v>
      </c>
      <c r="F23" s="1">
        <v>2627</v>
      </c>
      <c r="G23" s="37" t="str">
        <f>VLOOKUP(Table1[[#This Row],[WO'#]],Table2[#All],2,FALSE)</f>
        <v>2020 Nevada Geology Calendar</v>
      </c>
      <c r="H23" s="20">
        <v>43677</v>
      </c>
      <c r="I23" s="2">
        <v>43662</v>
      </c>
      <c r="J23" s="4">
        <f t="shared" si="3"/>
        <v>16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4.25</v>
      </c>
      <c r="Q23" s="3">
        <f t="shared" si="4"/>
        <v>4.25</v>
      </c>
      <c r="R23" s="1" t="s">
        <v>970</v>
      </c>
      <c r="S23" s="1" t="s">
        <v>23</v>
      </c>
      <c r="T23" s="3">
        <f t="shared" si="5"/>
        <v>4.25</v>
      </c>
      <c r="U23" s="44">
        <f>IF(Table1[[#This Row],[Initials]]="RM",$AE$10,IF(Table1[[#This Row],[Initials]]="JPH",$AE$11,IF(Table1[[#This Row],[Initials]]="IE",$AE$13,IF(Table1[[#This Row],[Initials]]="JM",$AE$14,1))))</f>
        <v>0.53</v>
      </c>
      <c r="V23" s="3">
        <f>Table1[[#This Row],[FTE %]]*Table1[[#This Row],[Time Worked]]</f>
        <v>2.2524999999999999</v>
      </c>
      <c r="W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3" s="38">
        <f t="shared" si="6"/>
        <v>0</v>
      </c>
      <c r="Y23" s="18">
        <f t="shared" si="7"/>
        <v>263.20249999999999</v>
      </c>
      <c r="AA23" s="36">
        <f>Table1[[#Totals],[Total NB]]</f>
        <v>48561.827499999818</v>
      </c>
    </row>
    <row r="24" spans="1:28" ht="15" customHeight="1" thickTop="1" x14ac:dyDescent="0.25">
      <c r="A24" s="10">
        <f t="shared" si="0"/>
        <v>23</v>
      </c>
      <c r="B24" s="6" t="str">
        <f t="shared" si="1"/>
        <v>71720192627JPH</v>
      </c>
      <c r="C24" s="1">
        <v>10575</v>
      </c>
      <c r="D24" s="1" t="s">
        <v>1006</v>
      </c>
      <c r="E24" s="53" t="str">
        <f t="shared" si="2"/>
        <v>Internal</v>
      </c>
      <c r="F24" s="1">
        <v>2627</v>
      </c>
      <c r="G24" s="37" t="str">
        <f>VLOOKUP(Table1[[#This Row],[WO'#]],Table2[#All],2,FALSE)</f>
        <v>2020 Nevada Geology Calendar</v>
      </c>
      <c r="H24" s="20">
        <v>43677</v>
      </c>
      <c r="I24" s="2">
        <v>43663</v>
      </c>
      <c r="J24" s="4">
        <f t="shared" si="3"/>
        <v>17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4.25</v>
      </c>
      <c r="Q24" s="3">
        <f t="shared" si="4"/>
        <v>4.25</v>
      </c>
      <c r="R24" s="1" t="s">
        <v>970</v>
      </c>
      <c r="S24" s="1" t="s">
        <v>23</v>
      </c>
      <c r="T24" s="3">
        <f t="shared" si="5"/>
        <v>4.25</v>
      </c>
      <c r="U24" s="44">
        <f>IF(Table1[[#This Row],[Initials]]="RM",$AE$10,IF(Table1[[#This Row],[Initials]]="JPH",$AE$11,IF(Table1[[#This Row],[Initials]]="IE",$AE$13,IF(Table1[[#This Row],[Initials]]="JM",$AE$14,1))))</f>
        <v>0.53</v>
      </c>
      <c r="V24" s="3">
        <f>Table1[[#This Row],[FTE %]]*Table1[[#This Row],[Time Worked]]</f>
        <v>2.2524999999999999</v>
      </c>
      <c r="W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4" s="38">
        <f t="shared" si="6"/>
        <v>0</v>
      </c>
      <c r="Y24" s="18">
        <f t="shared" si="7"/>
        <v>263.20249999999999</v>
      </c>
    </row>
    <row r="25" spans="1:28" ht="15" customHeight="1" x14ac:dyDescent="0.25">
      <c r="A25" s="10">
        <f t="shared" si="0"/>
        <v>24</v>
      </c>
      <c r="B25" s="6" t="str">
        <f t="shared" si="1"/>
        <v>71820192627JPH</v>
      </c>
      <c r="C25" s="1">
        <v>10575</v>
      </c>
      <c r="D25" s="1" t="s">
        <v>1006</v>
      </c>
      <c r="E25" s="53" t="str">
        <f t="shared" si="2"/>
        <v>Internal</v>
      </c>
      <c r="F25" s="1">
        <v>2627</v>
      </c>
      <c r="G25" s="37" t="str">
        <f>VLOOKUP(Table1[[#This Row],[WO'#]],Table2[#All],2,FALSE)</f>
        <v>2020 Nevada Geology Calendar</v>
      </c>
      <c r="H25" s="20">
        <v>43677</v>
      </c>
      <c r="I25" s="2">
        <v>43664</v>
      </c>
      <c r="J25" s="4">
        <f t="shared" si="3"/>
        <v>18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1</v>
      </c>
      <c r="Q25" s="3">
        <f t="shared" si="4"/>
        <v>1</v>
      </c>
      <c r="R25" s="1" t="s">
        <v>970</v>
      </c>
      <c r="S25" s="1" t="s">
        <v>23</v>
      </c>
      <c r="T25" s="3">
        <f t="shared" si="5"/>
        <v>1</v>
      </c>
      <c r="U25" s="44">
        <f>IF(Table1[[#This Row],[Initials]]="RM",$AE$10,IF(Table1[[#This Row],[Initials]]="JPH",$AE$11,IF(Table1[[#This Row],[Initials]]="IE",$AE$13,IF(Table1[[#This Row],[Initials]]="JM",$AE$14,1))))</f>
        <v>0.53</v>
      </c>
      <c r="V25" s="3">
        <f>Table1[[#This Row],[FTE %]]*Table1[[#This Row],[Time Worked]]</f>
        <v>0.53</v>
      </c>
      <c r="W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" s="38">
        <f t="shared" si="6"/>
        <v>0</v>
      </c>
      <c r="Y25" s="18">
        <f t="shared" si="7"/>
        <v>61.93</v>
      </c>
    </row>
    <row r="26" spans="1:28" ht="15" customHeight="1" x14ac:dyDescent="0.25">
      <c r="A26" s="10">
        <f t="shared" si="0"/>
        <v>25</v>
      </c>
      <c r="B26" s="6" t="str">
        <f t="shared" si="1"/>
        <v>72220192627JPH</v>
      </c>
      <c r="C26" s="1">
        <v>10575</v>
      </c>
      <c r="D26" s="1" t="s">
        <v>1006</v>
      </c>
      <c r="E26" s="53" t="str">
        <f t="shared" si="2"/>
        <v>Internal</v>
      </c>
      <c r="F26" s="1">
        <v>2627</v>
      </c>
      <c r="G26" s="37" t="str">
        <f>VLOOKUP(Table1[[#This Row],[WO'#]],Table2[#All],2,FALSE)</f>
        <v>2020 Nevada Geology Calendar</v>
      </c>
      <c r="H26" s="20">
        <v>43677</v>
      </c>
      <c r="I26" s="2">
        <v>43668</v>
      </c>
      <c r="J26" s="4">
        <f t="shared" si="3"/>
        <v>22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4.25</v>
      </c>
      <c r="Q26" s="3">
        <f t="shared" si="4"/>
        <v>4.25</v>
      </c>
      <c r="R26" s="1" t="s">
        <v>970</v>
      </c>
      <c r="S26" s="1" t="s">
        <v>23</v>
      </c>
      <c r="T26" s="3">
        <f t="shared" si="5"/>
        <v>4.25</v>
      </c>
      <c r="U26" s="44">
        <f>IF(Table1[[#This Row],[Initials]]="RM",$AE$10,IF(Table1[[#This Row],[Initials]]="JPH",$AE$11,IF(Table1[[#This Row],[Initials]]="IE",$AE$13,IF(Table1[[#This Row],[Initials]]="JM",$AE$14,1))))</f>
        <v>0.53</v>
      </c>
      <c r="V26" s="3">
        <f>Table1[[#This Row],[FTE %]]*Table1[[#This Row],[Time Worked]]</f>
        <v>2.2524999999999999</v>
      </c>
      <c r="W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6" s="38">
        <f t="shared" si="6"/>
        <v>0</v>
      </c>
      <c r="Y26" s="18">
        <f t="shared" si="7"/>
        <v>263.20249999999999</v>
      </c>
    </row>
    <row r="27" spans="1:28" ht="15" customHeight="1" x14ac:dyDescent="0.25">
      <c r="A27" s="10">
        <f t="shared" si="0"/>
        <v>26</v>
      </c>
      <c r="B27" s="6" t="str">
        <f t="shared" si="1"/>
        <v>72320192627JPH</v>
      </c>
      <c r="C27" s="1">
        <v>10575</v>
      </c>
      <c r="D27" s="1" t="s">
        <v>1006</v>
      </c>
      <c r="E27" s="53" t="str">
        <f t="shared" si="2"/>
        <v>Internal</v>
      </c>
      <c r="F27" s="1">
        <v>2627</v>
      </c>
      <c r="G27" s="37" t="str">
        <f>VLOOKUP(Table1[[#This Row],[WO'#]],Table2[#All],2,FALSE)</f>
        <v>2020 Nevada Geology Calendar</v>
      </c>
      <c r="H27" s="20">
        <v>43677</v>
      </c>
      <c r="I27" s="2">
        <v>43669</v>
      </c>
      <c r="J27" s="4">
        <f t="shared" si="3"/>
        <v>23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1.25</v>
      </c>
      <c r="Q27" s="3">
        <f t="shared" si="4"/>
        <v>1.25</v>
      </c>
      <c r="R27" s="1" t="s">
        <v>970</v>
      </c>
      <c r="S27" s="1" t="s">
        <v>23</v>
      </c>
      <c r="T27" s="3">
        <f t="shared" si="5"/>
        <v>1.25</v>
      </c>
      <c r="U27" s="44">
        <f>IF(Table1[[#This Row],[Initials]]="RM",$AE$10,IF(Table1[[#This Row],[Initials]]="JPH",$AE$11,IF(Table1[[#This Row],[Initials]]="IE",$AE$13,IF(Table1[[#This Row],[Initials]]="JM",$AE$14,1))))</f>
        <v>0.53</v>
      </c>
      <c r="V27" s="3">
        <f>Table1[[#This Row],[FTE %]]*Table1[[#This Row],[Time Worked]]</f>
        <v>0.66250000000000009</v>
      </c>
      <c r="W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27" s="38">
        <f t="shared" si="6"/>
        <v>0</v>
      </c>
      <c r="Y27" s="18">
        <f t="shared" si="7"/>
        <v>77.412499999999994</v>
      </c>
    </row>
    <row r="28" spans="1:28" ht="15" customHeight="1" x14ac:dyDescent="0.25">
      <c r="A28" s="10">
        <f t="shared" si="0"/>
        <v>27</v>
      </c>
      <c r="B28" s="6" t="str">
        <f t="shared" si="1"/>
        <v>72420192595IE</v>
      </c>
      <c r="C28" s="1">
        <v>10581</v>
      </c>
      <c r="D28" s="1" t="s">
        <v>1008</v>
      </c>
      <c r="E28" s="53" t="str">
        <f t="shared" si="2"/>
        <v>External</v>
      </c>
      <c r="F28" s="1">
        <v>2595</v>
      </c>
      <c r="G28" s="37" t="str">
        <f>VLOOKUP(Table1[[#This Row],[WO'#]],Table2[#All],2,FALSE)</f>
        <v>SM18 Granite Peak</v>
      </c>
      <c r="H28" s="20">
        <v>43677</v>
      </c>
      <c r="I28" s="2">
        <v>43670</v>
      </c>
      <c r="J28" s="4">
        <f t="shared" si="3"/>
        <v>24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0.5</v>
      </c>
      <c r="Q28" s="3">
        <f t="shared" si="4"/>
        <v>0.5</v>
      </c>
      <c r="R28" s="1" t="s">
        <v>971</v>
      </c>
      <c r="S28" s="1" t="s">
        <v>23</v>
      </c>
      <c r="T28" s="3">
        <f t="shared" si="5"/>
        <v>0.5</v>
      </c>
      <c r="U28" s="44">
        <f>IF(Table1[[#This Row],[Initials]]="RM",$AE$10,IF(Table1[[#This Row],[Initials]]="JPH",$AE$11,IF(Table1[[#This Row],[Initials]]="IE",$AE$13,IF(Table1[[#This Row],[Initials]]="JM",$AE$14,1))))</f>
        <v>1</v>
      </c>
      <c r="V28" s="3">
        <f>Table1[[#This Row],[FTE %]]*Table1[[#This Row],[Time Worked]]</f>
        <v>0.5</v>
      </c>
      <c r="W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8" s="38">
        <f t="shared" si="6"/>
        <v>0</v>
      </c>
      <c r="Y28" s="18">
        <f t="shared" si="7"/>
        <v>30.965</v>
      </c>
    </row>
    <row r="29" spans="1:28" ht="15" customHeight="1" x14ac:dyDescent="0.25">
      <c r="A29" s="10">
        <f t="shared" si="0"/>
        <v>28</v>
      </c>
      <c r="B29" s="6" t="str">
        <f t="shared" si="1"/>
        <v>72520192595IE</v>
      </c>
      <c r="C29" s="1">
        <v>10581</v>
      </c>
      <c r="D29" s="1" t="s">
        <v>1008</v>
      </c>
      <c r="E29" s="53" t="str">
        <f t="shared" si="2"/>
        <v>External</v>
      </c>
      <c r="F29" s="1">
        <v>2595</v>
      </c>
      <c r="G29" s="37" t="str">
        <f>VLOOKUP(Table1[[#This Row],[WO'#]],Table2[#All],2,FALSE)</f>
        <v>SM18 Granite Peak</v>
      </c>
      <c r="H29" s="20">
        <v>43677</v>
      </c>
      <c r="I29" s="2">
        <v>43671</v>
      </c>
      <c r="J29" s="4">
        <f t="shared" si="3"/>
        <v>25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1.5</v>
      </c>
      <c r="Q29" s="3">
        <f t="shared" si="4"/>
        <v>1.5</v>
      </c>
      <c r="R29" s="1" t="s">
        <v>971</v>
      </c>
      <c r="S29" s="1" t="s">
        <v>23</v>
      </c>
      <c r="T29" s="3">
        <f t="shared" si="5"/>
        <v>1.5</v>
      </c>
      <c r="U29" s="44">
        <f>IF(Table1[[#This Row],[Initials]]="RM",$AE$10,IF(Table1[[#This Row],[Initials]]="JPH",$AE$11,IF(Table1[[#This Row],[Initials]]="IE",$AE$13,IF(Table1[[#This Row],[Initials]]="JM",$AE$14,1))))</f>
        <v>1</v>
      </c>
      <c r="V29" s="3">
        <f>Table1[[#This Row],[FTE %]]*Table1[[#This Row],[Time Worked]]</f>
        <v>1.5</v>
      </c>
      <c r="W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9" s="38">
        <f t="shared" si="6"/>
        <v>0</v>
      </c>
      <c r="Y29" s="18">
        <f t="shared" si="7"/>
        <v>92.894999999999996</v>
      </c>
    </row>
    <row r="30" spans="1:28" ht="15" customHeight="1" x14ac:dyDescent="0.25">
      <c r="A30" s="10">
        <f t="shared" si="0"/>
        <v>29</v>
      </c>
      <c r="B30" s="6" t="str">
        <f t="shared" si="1"/>
        <v>72420192606IE</v>
      </c>
      <c r="C30" s="1">
        <v>10581</v>
      </c>
      <c r="D30" s="1" t="s">
        <v>1007</v>
      </c>
      <c r="E30" s="53" t="str">
        <f t="shared" si="2"/>
        <v>External</v>
      </c>
      <c r="F30" s="1">
        <v>2606</v>
      </c>
      <c r="G30" s="37" t="str">
        <f>VLOOKUP(Table1[[#This Row],[WO'#]],Table2[#All],2,FALSE)</f>
        <v>SM18 Independence Valley</v>
      </c>
      <c r="H30" s="20">
        <v>43677</v>
      </c>
      <c r="I30" s="2">
        <v>43670</v>
      </c>
      <c r="J30" s="4">
        <f t="shared" si="3"/>
        <v>24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0.25</v>
      </c>
      <c r="Q30" s="3">
        <f t="shared" si="4"/>
        <v>0.25</v>
      </c>
      <c r="R30" s="1" t="s">
        <v>971</v>
      </c>
      <c r="S30" s="1" t="s">
        <v>23</v>
      </c>
      <c r="T30" s="3">
        <f t="shared" si="5"/>
        <v>0.25</v>
      </c>
      <c r="U30" s="44">
        <f>IF(Table1[[#This Row],[Initials]]="RM",$AE$10,IF(Table1[[#This Row],[Initials]]="JPH",$AE$11,IF(Table1[[#This Row],[Initials]]="IE",$AE$13,IF(Table1[[#This Row],[Initials]]="JM",$AE$14,1))))</f>
        <v>1</v>
      </c>
      <c r="V30" s="3">
        <f>Table1[[#This Row],[FTE %]]*Table1[[#This Row],[Time Worked]]</f>
        <v>0.25</v>
      </c>
      <c r="W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0" s="38">
        <f t="shared" si="6"/>
        <v>0</v>
      </c>
      <c r="Y30" s="18">
        <f t="shared" si="7"/>
        <v>15.4825</v>
      </c>
    </row>
    <row r="31" spans="1:28" ht="15" customHeight="1" x14ac:dyDescent="0.25">
      <c r="A31" s="10">
        <f t="shared" si="0"/>
        <v>30</v>
      </c>
      <c r="B31" s="6" t="str">
        <f t="shared" si="1"/>
        <v>72520192606IE</v>
      </c>
      <c r="C31" s="1">
        <v>10581</v>
      </c>
      <c r="D31" s="1" t="s">
        <v>1007</v>
      </c>
      <c r="E31" s="53" t="str">
        <f t="shared" si="2"/>
        <v>External</v>
      </c>
      <c r="F31" s="1">
        <v>2606</v>
      </c>
      <c r="G31" s="37" t="str">
        <f>VLOOKUP(Table1[[#This Row],[WO'#]],Table2[#All],2,FALSE)</f>
        <v>SM18 Independence Valley</v>
      </c>
      <c r="H31" s="20">
        <v>43677</v>
      </c>
      <c r="I31" s="2">
        <v>43671</v>
      </c>
      <c r="J31" s="4">
        <f t="shared" si="3"/>
        <v>25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0.5</v>
      </c>
      <c r="Q31" s="3">
        <f t="shared" si="4"/>
        <v>0.5</v>
      </c>
      <c r="R31" s="1" t="s">
        <v>971</v>
      </c>
      <c r="S31" s="1" t="s">
        <v>23</v>
      </c>
      <c r="T31" s="3">
        <f t="shared" si="5"/>
        <v>0.5</v>
      </c>
      <c r="U31" s="44">
        <f>IF(Table1[[#This Row],[Initials]]="RM",$AE$10,IF(Table1[[#This Row],[Initials]]="JPH",$AE$11,IF(Table1[[#This Row],[Initials]]="IE",$AE$13,IF(Table1[[#This Row],[Initials]]="JM",$AE$14,1))))</f>
        <v>1</v>
      </c>
      <c r="V31" s="3">
        <f>Table1[[#This Row],[FTE %]]*Table1[[#This Row],[Time Worked]]</f>
        <v>0.5</v>
      </c>
      <c r="W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1" s="38">
        <f t="shared" si="6"/>
        <v>0</v>
      </c>
      <c r="Y31" s="18">
        <f t="shared" si="7"/>
        <v>30.965</v>
      </c>
    </row>
    <row r="32" spans="1:28" ht="15" customHeight="1" x14ac:dyDescent="0.25">
      <c r="A32" s="10">
        <f t="shared" si="0"/>
        <v>31</v>
      </c>
      <c r="B32" s="6" t="str">
        <f t="shared" si="1"/>
        <v>71620192607IE</v>
      </c>
      <c r="C32" s="1">
        <v>10581</v>
      </c>
      <c r="D32" s="1" t="s">
        <v>1009</v>
      </c>
      <c r="E32" s="1" t="str">
        <f t="shared" si="2"/>
        <v>External</v>
      </c>
      <c r="F32" s="1">
        <v>2607</v>
      </c>
      <c r="G32" s="37" t="str">
        <f>VLOOKUP(Table1[[#This Row],[WO'#]],Table2[#All],2,FALSE)</f>
        <v>SM18 Washoe City</v>
      </c>
      <c r="H32" s="20">
        <v>43677</v>
      </c>
      <c r="I32" s="2">
        <v>43662</v>
      </c>
      <c r="J32" s="4">
        <f t="shared" si="3"/>
        <v>16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0.5</v>
      </c>
      <c r="Q32" s="3">
        <f t="shared" si="4"/>
        <v>0.5</v>
      </c>
      <c r="R32" s="1" t="s">
        <v>971</v>
      </c>
      <c r="S32" s="1" t="s">
        <v>23</v>
      </c>
      <c r="T32" s="3">
        <f t="shared" si="5"/>
        <v>0.5</v>
      </c>
      <c r="U32" s="44">
        <f>IF(Table1[[#This Row],[Initials]]="RM",$AE$10,IF(Table1[[#This Row],[Initials]]="JPH",$AE$11,IF(Table1[[#This Row],[Initials]]="IE",$AE$13,IF(Table1[[#This Row],[Initials]]="JM",$AE$14,1))))</f>
        <v>1</v>
      </c>
      <c r="V32" s="3">
        <f>Table1[[#This Row],[FTE %]]*Table1[[#This Row],[Time Worked]]</f>
        <v>0.5</v>
      </c>
      <c r="W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2" s="38">
        <f t="shared" si="6"/>
        <v>0</v>
      </c>
      <c r="Y32" s="18">
        <f t="shared" si="7"/>
        <v>30.965</v>
      </c>
    </row>
    <row r="33" spans="1:25" ht="15" customHeight="1" x14ac:dyDescent="0.25">
      <c r="A33" s="10">
        <f t="shared" si="0"/>
        <v>32</v>
      </c>
      <c r="B33" s="6" t="str">
        <f t="shared" si="1"/>
        <v>72320192607IE</v>
      </c>
      <c r="C33" s="1">
        <v>10581</v>
      </c>
      <c r="D33" s="1" t="s">
        <v>1009</v>
      </c>
      <c r="E33" s="53" t="str">
        <f t="shared" si="2"/>
        <v>External</v>
      </c>
      <c r="F33" s="1">
        <v>2607</v>
      </c>
      <c r="G33" s="37" t="str">
        <f>VLOOKUP(Table1[[#This Row],[WO'#]],Table2[#All],2,FALSE)</f>
        <v>SM18 Washoe City</v>
      </c>
      <c r="H33" s="20">
        <v>43677</v>
      </c>
      <c r="I33" s="2">
        <v>43669</v>
      </c>
      <c r="J33" s="4">
        <f t="shared" si="3"/>
        <v>23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0.5</v>
      </c>
      <c r="Q33" s="3">
        <f t="shared" si="4"/>
        <v>0.5</v>
      </c>
      <c r="R33" s="1" t="s">
        <v>971</v>
      </c>
      <c r="S33" s="1" t="s">
        <v>23</v>
      </c>
      <c r="T33" s="3">
        <f t="shared" si="5"/>
        <v>0.5</v>
      </c>
      <c r="U33" s="44">
        <f>IF(Table1[[#This Row],[Initials]]="RM",$AE$10,IF(Table1[[#This Row],[Initials]]="JPH",$AE$11,IF(Table1[[#This Row],[Initials]]="IE",$AE$13,IF(Table1[[#This Row],[Initials]]="JM",$AE$14,1))))</f>
        <v>1</v>
      </c>
      <c r="V33" s="3">
        <f>Table1[[#This Row],[FTE %]]*Table1[[#This Row],[Time Worked]]</f>
        <v>0.5</v>
      </c>
      <c r="W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3" s="38">
        <f t="shared" si="6"/>
        <v>0</v>
      </c>
      <c r="Y33" s="18">
        <f t="shared" si="7"/>
        <v>30.965</v>
      </c>
    </row>
    <row r="34" spans="1:25" ht="15" customHeight="1" x14ac:dyDescent="0.25">
      <c r="A34" s="10">
        <f t="shared" si="0"/>
        <v>33</v>
      </c>
      <c r="B34" s="6" t="str">
        <f t="shared" si="1"/>
        <v>72420192607IE</v>
      </c>
      <c r="C34" s="1">
        <v>10581</v>
      </c>
      <c r="D34" s="1" t="s">
        <v>1009</v>
      </c>
      <c r="E34" s="53" t="str">
        <f t="shared" si="2"/>
        <v>External</v>
      </c>
      <c r="F34" s="1">
        <v>2607</v>
      </c>
      <c r="G34" s="37" t="str">
        <f>VLOOKUP(Table1[[#This Row],[WO'#]],Table2[#All],2,FALSE)</f>
        <v>SM18 Washoe City</v>
      </c>
      <c r="H34" s="20">
        <v>43677</v>
      </c>
      <c r="I34" s="2">
        <v>43670</v>
      </c>
      <c r="J34" s="4">
        <f t="shared" si="3"/>
        <v>24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3.5</v>
      </c>
      <c r="Q34" s="3">
        <f t="shared" si="4"/>
        <v>3.5</v>
      </c>
      <c r="R34" s="1" t="s">
        <v>971</v>
      </c>
      <c r="S34" s="1" t="s">
        <v>23</v>
      </c>
      <c r="T34" s="3">
        <f t="shared" si="5"/>
        <v>3.5</v>
      </c>
      <c r="U34" s="44">
        <f>IF(Table1[[#This Row],[Initials]]="RM",$AE$10,IF(Table1[[#This Row],[Initials]]="JPH",$AE$11,IF(Table1[[#This Row],[Initials]]="IE",$AE$13,IF(Table1[[#This Row],[Initials]]="JM",$AE$14,1))))</f>
        <v>1</v>
      </c>
      <c r="V34" s="3">
        <f>Table1[[#This Row],[FTE %]]*Table1[[#This Row],[Time Worked]]</f>
        <v>3.5</v>
      </c>
      <c r="W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34" s="38">
        <f t="shared" si="6"/>
        <v>0</v>
      </c>
      <c r="Y34" s="18">
        <f t="shared" si="7"/>
        <v>216.755</v>
      </c>
    </row>
    <row r="35" spans="1:25" x14ac:dyDescent="0.25">
      <c r="A35" s="10">
        <f t="shared" si="0"/>
        <v>34</v>
      </c>
      <c r="B35" s="6" t="str">
        <f t="shared" si="1"/>
        <v>72520192607IE</v>
      </c>
      <c r="C35" s="1">
        <v>10581</v>
      </c>
      <c r="D35" s="1" t="s">
        <v>1009</v>
      </c>
      <c r="E35" s="53" t="str">
        <f t="shared" si="2"/>
        <v>External</v>
      </c>
      <c r="F35" s="1">
        <v>2607</v>
      </c>
      <c r="G35" s="37" t="str">
        <f>VLOOKUP(Table1[[#This Row],[WO'#]],Table2[#All],2,FALSE)</f>
        <v>SM18 Washoe City</v>
      </c>
      <c r="H35" s="20">
        <v>43677</v>
      </c>
      <c r="I35" s="2">
        <v>43671</v>
      </c>
      <c r="J35" s="4">
        <f t="shared" si="3"/>
        <v>25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1</v>
      </c>
      <c r="Q35" s="3">
        <f t="shared" si="4"/>
        <v>1</v>
      </c>
      <c r="R35" s="1" t="s">
        <v>971</v>
      </c>
      <c r="S35" s="1" t="s">
        <v>23</v>
      </c>
      <c r="T35" s="3">
        <f t="shared" si="5"/>
        <v>1</v>
      </c>
      <c r="U35" s="44">
        <f>IF(Table1[[#This Row],[Initials]]="RM",$AE$10,IF(Table1[[#This Row],[Initials]]="JPH",$AE$11,IF(Table1[[#This Row],[Initials]]="IE",$AE$13,IF(Table1[[#This Row],[Initials]]="JM",$AE$14,1))))</f>
        <v>1</v>
      </c>
      <c r="V35" s="3">
        <f>Table1[[#This Row],[FTE %]]*Table1[[#This Row],[Time Worked]]</f>
        <v>1</v>
      </c>
      <c r="W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5" s="38">
        <f t="shared" si="6"/>
        <v>0</v>
      </c>
      <c r="Y35" s="18">
        <f t="shared" si="7"/>
        <v>61.93</v>
      </c>
    </row>
    <row r="36" spans="1:25" x14ac:dyDescent="0.25">
      <c r="A36" s="10">
        <f t="shared" si="0"/>
        <v>35</v>
      </c>
      <c r="B36" s="6" t="str">
        <f t="shared" si="1"/>
        <v>7920192601JM</v>
      </c>
      <c r="C36" s="1">
        <v>10593</v>
      </c>
      <c r="D36" s="1" t="s">
        <v>1010</v>
      </c>
      <c r="E36" s="1" t="str">
        <f t="shared" si="2"/>
        <v>External</v>
      </c>
      <c r="F36" s="1">
        <v>2601</v>
      </c>
      <c r="G36" s="37" t="str">
        <f>VLOOKUP(Table1[[#This Row],[WO'#]],Table2[#All],2,FALSE)</f>
        <v>SM18 Gordon Creek GIS Migration</v>
      </c>
      <c r="H36" s="20">
        <v>43677</v>
      </c>
      <c r="I36" s="2">
        <v>43655</v>
      </c>
      <c r="J36" s="4">
        <f t="shared" si="3"/>
        <v>9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1.5</v>
      </c>
      <c r="Q36" s="3">
        <f t="shared" si="4"/>
        <v>1.5</v>
      </c>
      <c r="R36" s="1" t="s">
        <v>972</v>
      </c>
      <c r="S36" s="1" t="s">
        <v>23</v>
      </c>
      <c r="T36" s="3">
        <f t="shared" si="5"/>
        <v>1.5</v>
      </c>
      <c r="U36" s="44">
        <f>IF(Table1[[#This Row],[Initials]]="RM",$AE$10,IF(Table1[[#This Row],[Initials]]="JPH",$AE$11,IF(Table1[[#This Row],[Initials]]="IE",$AE$13,IF(Table1[[#This Row],[Initials]]="JM",$AE$14,1))))</f>
        <v>0.39500000000000002</v>
      </c>
      <c r="V36" s="3">
        <f>Table1[[#This Row],[FTE %]]*Table1[[#This Row],[Time Worked]]</f>
        <v>0.59250000000000003</v>
      </c>
      <c r="W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6" s="38">
        <f t="shared" si="6"/>
        <v>0</v>
      </c>
      <c r="Y36" s="18">
        <f t="shared" si="7"/>
        <v>92.894999999999996</v>
      </c>
    </row>
    <row r="37" spans="1:25" x14ac:dyDescent="0.25">
      <c r="A37" s="10">
        <f t="shared" si="0"/>
        <v>36</v>
      </c>
      <c r="B37" s="6" t="str">
        <f t="shared" si="1"/>
        <v>71120192601IE</v>
      </c>
      <c r="C37" s="1">
        <v>10593</v>
      </c>
      <c r="D37" s="1" t="s">
        <v>1010</v>
      </c>
      <c r="E37" s="1" t="str">
        <f t="shared" si="2"/>
        <v>External</v>
      </c>
      <c r="F37" s="1">
        <v>2601</v>
      </c>
      <c r="G37" s="37" t="str">
        <f>VLOOKUP(Table1[[#This Row],[WO'#]],Table2[#All],2,FALSE)</f>
        <v>SM18 Gordon Creek GIS Migration</v>
      </c>
      <c r="H37" s="20">
        <v>43677</v>
      </c>
      <c r="I37" s="2">
        <v>43657</v>
      </c>
      <c r="J37" s="4">
        <f t="shared" si="3"/>
        <v>11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2</v>
      </c>
      <c r="Q37" s="3">
        <f t="shared" si="4"/>
        <v>2</v>
      </c>
      <c r="R37" s="1" t="s">
        <v>971</v>
      </c>
      <c r="S37" s="1" t="s">
        <v>23</v>
      </c>
      <c r="T37" s="3">
        <f t="shared" si="5"/>
        <v>2</v>
      </c>
      <c r="U37" s="44">
        <f>IF(Table1[[#This Row],[Initials]]="RM",$AE$10,IF(Table1[[#This Row],[Initials]]="JPH",$AE$11,IF(Table1[[#This Row],[Initials]]="IE",$AE$13,IF(Table1[[#This Row],[Initials]]="JM",$AE$14,1))))</f>
        <v>1</v>
      </c>
      <c r="V37" s="3">
        <f>Table1[[#This Row],[FTE %]]*Table1[[#This Row],[Time Worked]]</f>
        <v>2</v>
      </c>
      <c r="W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7" s="38">
        <f t="shared" si="6"/>
        <v>0</v>
      </c>
      <c r="Y37" s="18">
        <f t="shared" si="7"/>
        <v>123.86</v>
      </c>
    </row>
    <row r="38" spans="1:25" x14ac:dyDescent="0.25">
      <c r="A38" s="10">
        <f t="shared" si="0"/>
        <v>37</v>
      </c>
      <c r="B38" s="6" t="str">
        <f t="shared" si="1"/>
        <v>71220192601IE</v>
      </c>
      <c r="C38" s="1">
        <v>10593</v>
      </c>
      <c r="D38" s="1" t="s">
        <v>1010</v>
      </c>
      <c r="E38" s="1" t="str">
        <f t="shared" si="2"/>
        <v>External</v>
      </c>
      <c r="F38" s="1">
        <v>2601</v>
      </c>
      <c r="G38" s="37" t="str">
        <f>VLOOKUP(Table1[[#This Row],[WO'#]],Table2[#All],2,FALSE)</f>
        <v>SM18 Gordon Creek GIS Migration</v>
      </c>
      <c r="H38" s="20">
        <v>43677</v>
      </c>
      <c r="I38" s="2">
        <v>43658</v>
      </c>
      <c r="J38" s="4">
        <f t="shared" si="3"/>
        <v>12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0.25</v>
      </c>
      <c r="Q38" s="3">
        <f t="shared" si="4"/>
        <v>0.25</v>
      </c>
      <c r="R38" s="1" t="s">
        <v>971</v>
      </c>
      <c r="S38" s="1" t="s">
        <v>23</v>
      </c>
      <c r="T38" s="3">
        <f t="shared" si="5"/>
        <v>0.25</v>
      </c>
      <c r="U38" s="44">
        <f>IF(Table1[[#This Row],[Initials]]="RM",$AE$10,IF(Table1[[#This Row],[Initials]]="JPH",$AE$11,IF(Table1[[#This Row],[Initials]]="IE",$AE$13,IF(Table1[[#This Row],[Initials]]="JM",$AE$14,1))))</f>
        <v>1</v>
      </c>
      <c r="V38" s="3">
        <f>Table1[[#This Row],[FTE %]]*Table1[[#This Row],[Time Worked]]</f>
        <v>0.25</v>
      </c>
      <c r="W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8" s="38">
        <f t="shared" si="6"/>
        <v>0</v>
      </c>
      <c r="Y38" s="18">
        <f t="shared" si="7"/>
        <v>15.4825</v>
      </c>
    </row>
    <row r="39" spans="1:25" x14ac:dyDescent="0.25">
      <c r="A39" s="10">
        <f t="shared" si="0"/>
        <v>38</v>
      </c>
      <c r="B39" s="6" t="str">
        <f t="shared" si="1"/>
        <v>71920192601JM</v>
      </c>
      <c r="C39" s="1">
        <v>10593</v>
      </c>
      <c r="D39" s="1" t="s">
        <v>1010</v>
      </c>
      <c r="E39" s="53" t="str">
        <f t="shared" si="2"/>
        <v>External</v>
      </c>
      <c r="F39" s="1">
        <v>2601</v>
      </c>
      <c r="G39" s="37" t="str">
        <f>VLOOKUP(Table1[[#This Row],[WO'#]],Table2[#All],2,FALSE)</f>
        <v>SM18 Gordon Creek GIS Migration</v>
      </c>
      <c r="H39" s="20">
        <v>43677</v>
      </c>
      <c r="I39" s="2">
        <v>43665</v>
      </c>
      <c r="J39" s="4">
        <f t="shared" si="3"/>
        <v>19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0.25</v>
      </c>
      <c r="Q39" s="3">
        <f t="shared" si="4"/>
        <v>0.25</v>
      </c>
      <c r="R39" s="1" t="s">
        <v>972</v>
      </c>
      <c r="S39" s="1" t="s">
        <v>23</v>
      </c>
      <c r="T39" s="3">
        <f t="shared" si="5"/>
        <v>0.25</v>
      </c>
      <c r="U39" s="44">
        <f>IF(Table1[[#This Row],[Initials]]="RM",$AE$10,IF(Table1[[#This Row],[Initials]]="JPH",$AE$11,IF(Table1[[#This Row],[Initials]]="IE",$AE$13,IF(Table1[[#This Row],[Initials]]="JM",$AE$14,1))))</f>
        <v>0.39500000000000002</v>
      </c>
      <c r="V39" s="3">
        <f>Table1[[#This Row],[FTE %]]*Table1[[#This Row],[Time Worked]]</f>
        <v>9.8750000000000004E-2</v>
      </c>
      <c r="W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9" s="38">
        <f t="shared" si="6"/>
        <v>0</v>
      </c>
      <c r="Y39" s="18">
        <f t="shared" si="7"/>
        <v>15.4825</v>
      </c>
    </row>
    <row r="40" spans="1:25" x14ac:dyDescent="0.25">
      <c r="A40" s="10">
        <f t="shared" si="0"/>
        <v>39</v>
      </c>
      <c r="B40" s="6" t="str">
        <f t="shared" si="1"/>
        <v>72220192601IE</v>
      </c>
      <c r="C40" s="1">
        <v>10593</v>
      </c>
      <c r="D40" s="1" t="s">
        <v>1010</v>
      </c>
      <c r="E40" s="53" t="str">
        <f t="shared" si="2"/>
        <v>External</v>
      </c>
      <c r="F40" s="1">
        <v>2601</v>
      </c>
      <c r="G40" s="37" t="str">
        <f>VLOOKUP(Table1[[#This Row],[WO'#]],Table2[#All],2,FALSE)</f>
        <v>SM18 Gordon Creek GIS Migration</v>
      </c>
      <c r="H40" s="20">
        <v>43677</v>
      </c>
      <c r="I40" s="2">
        <v>43668</v>
      </c>
      <c r="J40" s="4">
        <f t="shared" si="3"/>
        <v>22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0.25</v>
      </c>
      <c r="Q40" s="3">
        <f t="shared" si="4"/>
        <v>0.25</v>
      </c>
      <c r="R40" s="1" t="s">
        <v>971</v>
      </c>
      <c r="S40" s="1" t="s">
        <v>23</v>
      </c>
      <c r="T40" s="3">
        <f t="shared" si="5"/>
        <v>0.25</v>
      </c>
      <c r="U40" s="44">
        <f>IF(Table1[[#This Row],[Initials]]="RM",$AE$10,IF(Table1[[#This Row],[Initials]]="JPH",$AE$11,IF(Table1[[#This Row],[Initials]]="IE",$AE$13,IF(Table1[[#This Row],[Initials]]="JM",$AE$14,1))))</f>
        <v>1</v>
      </c>
      <c r="V40" s="3">
        <f>Table1[[#This Row],[FTE %]]*Table1[[#This Row],[Time Worked]]</f>
        <v>0.25</v>
      </c>
      <c r="W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0" s="38">
        <f t="shared" si="6"/>
        <v>0</v>
      </c>
      <c r="Y40" s="18">
        <f t="shared" si="7"/>
        <v>15.4825</v>
      </c>
    </row>
    <row r="41" spans="1:25" x14ac:dyDescent="0.25">
      <c r="A41" s="10">
        <f t="shared" si="0"/>
        <v>40</v>
      </c>
      <c r="B41" s="6" t="str">
        <f t="shared" si="1"/>
        <v>72420192601IE</v>
      </c>
      <c r="C41" s="1">
        <v>10593</v>
      </c>
      <c r="D41" s="1" t="s">
        <v>1010</v>
      </c>
      <c r="E41" s="53" t="str">
        <f t="shared" si="2"/>
        <v>External</v>
      </c>
      <c r="F41" s="1">
        <v>2601</v>
      </c>
      <c r="G41" s="37" t="str">
        <f>VLOOKUP(Table1[[#This Row],[WO'#]],Table2[#All],2,FALSE)</f>
        <v>SM18 Gordon Creek GIS Migration</v>
      </c>
      <c r="H41" s="20">
        <v>43677</v>
      </c>
      <c r="I41" s="2">
        <v>43670</v>
      </c>
      <c r="J41" s="4">
        <f t="shared" si="3"/>
        <v>24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0.75</v>
      </c>
      <c r="Q41" s="3">
        <f t="shared" si="4"/>
        <v>0.75</v>
      </c>
      <c r="R41" s="1" t="s">
        <v>971</v>
      </c>
      <c r="S41" s="1" t="s">
        <v>23</v>
      </c>
      <c r="T41" s="3">
        <f t="shared" si="5"/>
        <v>0.75</v>
      </c>
      <c r="U41" s="44">
        <f>IF(Table1[[#This Row],[Initials]]="RM",$AE$10,IF(Table1[[#This Row],[Initials]]="JPH",$AE$11,IF(Table1[[#This Row],[Initials]]="IE",$AE$13,IF(Table1[[#This Row],[Initials]]="JM",$AE$14,1))))</f>
        <v>1</v>
      </c>
      <c r="V41" s="3">
        <f>Table1[[#This Row],[FTE %]]*Table1[[#This Row],[Time Worked]]</f>
        <v>0.75</v>
      </c>
      <c r="W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41" s="38">
        <f t="shared" si="6"/>
        <v>0</v>
      </c>
      <c r="Y41" s="18">
        <f t="shared" si="7"/>
        <v>46.447499999999998</v>
      </c>
    </row>
    <row r="42" spans="1:25" x14ac:dyDescent="0.25">
      <c r="A42" s="10">
        <f t="shared" si="0"/>
        <v>41</v>
      </c>
      <c r="B42" s="6" t="str">
        <f t="shared" si="1"/>
        <v>72520192601IE</v>
      </c>
      <c r="C42" s="1">
        <v>10593</v>
      </c>
      <c r="D42" s="1" t="s">
        <v>1010</v>
      </c>
      <c r="E42" s="53" t="str">
        <f t="shared" si="2"/>
        <v>External</v>
      </c>
      <c r="F42" s="1">
        <v>2601</v>
      </c>
      <c r="G42" s="37" t="str">
        <f>VLOOKUP(Table1[[#This Row],[WO'#]],Table2[#All],2,FALSE)</f>
        <v>SM18 Gordon Creek GIS Migration</v>
      </c>
      <c r="H42" s="20">
        <v>43677</v>
      </c>
      <c r="I42" s="2">
        <v>43671</v>
      </c>
      <c r="J42" s="4">
        <f t="shared" si="3"/>
        <v>25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0.25</v>
      </c>
      <c r="Q42" s="3">
        <f t="shared" si="4"/>
        <v>0.25</v>
      </c>
      <c r="R42" s="1" t="s">
        <v>971</v>
      </c>
      <c r="S42" s="1" t="s">
        <v>23</v>
      </c>
      <c r="T42" s="3">
        <f t="shared" si="5"/>
        <v>0.25</v>
      </c>
      <c r="U42" s="44">
        <f>IF(Table1[[#This Row],[Initials]]="RM",$AE$10,IF(Table1[[#This Row],[Initials]]="JPH",$AE$11,IF(Table1[[#This Row],[Initials]]="IE",$AE$13,IF(Table1[[#This Row],[Initials]]="JM",$AE$14,1))))</f>
        <v>1</v>
      </c>
      <c r="V42" s="3">
        <f>Table1[[#This Row],[FTE %]]*Table1[[#This Row],[Time Worked]]</f>
        <v>0.25</v>
      </c>
      <c r="W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2" s="38">
        <f t="shared" si="6"/>
        <v>0</v>
      </c>
      <c r="Y42" s="18">
        <f t="shared" si="7"/>
        <v>15.4825</v>
      </c>
    </row>
    <row r="43" spans="1:25" x14ac:dyDescent="0.25">
      <c r="A43" s="10">
        <f t="shared" si="0"/>
        <v>42</v>
      </c>
      <c r="B43" s="6" t="str">
        <f t="shared" si="1"/>
        <v>72420192627JPH</v>
      </c>
      <c r="C43" s="1">
        <v>10603</v>
      </c>
      <c r="D43" s="1" t="s">
        <v>1006</v>
      </c>
      <c r="E43" s="53" t="str">
        <f t="shared" si="2"/>
        <v>Internal</v>
      </c>
      <c r="F43" s="1">
        <v>2627</v>
      </c>
      <c r="G43" s="37" t="str">
        <f>VLOOKUP(Table1[[#This Row],[WO'#]],Table2[#All],2,FALSE)</f>
        <v>2020 Nevada Geology Calendar</v>
      </c>
      <c r="H43" s="20">
        <v>43678</v>
      </c>
      <c r="I43" s="2">
        <v>43670</v>
      </c>
      <c r="J43" s="4">
        <f t="shared" si="3"/>
        <v>24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3.5</v>
      </c>
      <c r="Q43" s="3">
        <f t="shared" si="4"/>
        <v>3.5</v>
      </c>
      <c r="R43" s="1" t="s">
        <v>970</v>
      </c>
      <c r="S43" s="1" t="s">
        <v>23</v>
      </c>
      <c r="T43" s="3">
        <f t="shared" si="5"/>
        <v>3.5</v>
      </c>
      <c r="U43" s="44">
        <f>IF(Table1[[#This Row],[Initials]]="RM",$AE$10,IF(Table1[[#This Row],[Initials]]="JPH",$AE$11,IF(Table1[[#This Row],[Initials]]="IE",$AE$13,IF(Table1[[#This Row],[Initials]]="JM",$AE$14,1))))</f>
        <v>0.53</v>
      </c>
      <c r="V43" s="3">
        <f>Table1[[#This Row],[FTE %]]*Table1[[#This Row],[Time Worked]]</f>
        <v>1.855</v>
      </c>
      <c r="W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43" s="38">
        <f t="shared" si="6"/>
        <v>0</v>
      </c>
      <c r="Y43" s="18">
        <f t="shared" si="7"/>
        <v>216.755</v>
      </c>
    </row>
    <row r="44" spans="1:25" x14ac:dyDescent="0.25">
      <c r="A44" s="10">
        <f t="shared" si="0"/>
        <v>43</v>
      </c>
      <c r="B44" s="6" t="str">
        <f t="shared" si="1"/>
        <v>72520192627JPH</v>
      </c>
      <c r="C44" s="1">
        <v>10603</v>
      </c>
      <c r="D44" s="1" t="s">
        <v>1006</v>
      </c>
      <c r="E44" s="53" t="str">
        <f t="shared" si="2"/>
        <v>Internal</v>
      </c>
      <c r="F44" s="1">
        <v>2627</v>
      </c>
      <c r="G44" s="37" t="str">
        <f>VLOOKUP(Table1[[#This Row],[WO'#]],Table2[#All],2,FALSE)</f>
        <v>2020 Nevada Geology Calendar</v>
      </c>
      <c r="H44" s="20">
        <v>43678</v>
      </c>
      <c r="I44" s="2">
        <v>43671</v>
      </c>
      <c r="J44" s="4">
        <f t="shared" si="3"/>
        <v>25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4.25</v>
      </c>
      <c r="Q44" s="3">
        <f t="shared" si="4"/>
        <v>4.25</v>
      </c>
      <c r="R44" s="1" t="s">
        <v>970</v>
      </c>
      <c r="S44" s="1" t="s">
        <v>23</v>
      </c>
      <c r="T44" s="3">
        <f t="shared" si="5"/>
        <v>4.25</v>
      </c>
      <c r="U44" s="44">
        <f>IF(Table1[[#This Row],[Initials]]="RM",$AE$10,IF(Table1[[#This Row],[Initials]]="JPH",$AE$11,IF(Table1[[#This Row],[Initials]]="IE",$AE$13,IF(Table1[[#This Row],[Initials]]="JM",$AE$14,1))))</f>
        <v>0.53</v>
      </c>
      <c r="V44" s="3">
        <f>Table1[[#This Row],[FTE %]]*Table1[[#This Row],[Time Worked]]</f>
        <v>2.2524999999999999</v>
      </c>
      <c r="W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44" s="38">
        <f t="shared" si="6"/>
        <v>0</v>
      </c>
      <c r="Y44" s="18">
        <f t="shared" si="7"/>
        <v>263.20249999999999</v>
      </c>
    </row>
    <row r="45" spans="1:25" x14ac:dyDescent="0.25">
      <c r="A45" s="10">
        <f t="shared" si="0"/>
        <v>44</v>
      </c>
      <c r="B45" s="6" t="str">
        <f t="shared" si="1"/>
        <v>72620192627JPH</v>
      </c>
      <c r="C45" s="1">
        <v>10603</v>
      </c>
      <c r="D45" s="1" t="s">
        <v>1006</v>
      </c>
      <c r="E45" s="53" t="str">
        <f t="shared" si="2"/>
        <v>Internal</v>
      </c>
      <c r="F45" s="1">
        <v>2627</v>
      </c>
      <c r="G45" s="37" t="str">
        <f>VLOOKUP(Table1[[#This Row],[WO'#]],Table2[#All],2,FALSE)</f>
        <v>2020 Nevada Geology Calendar</v>
      </c>
      <c r="H45" s="20">
        <v>43678</v>
      </c>
      <c r="I45" s="2">
        <v>43672</v>
      </c>
      <c r="J45" s="4">
        <f t="shared" si="3"/>
        <v>26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4.25</v>
      </c>
      <c r="Q45" s="3">
        <f t="shared" si="4"/>
        <v>4.25</v>
      </c>
      <c r="R45" s="1" t="s">
        <v>970</v>
      </c>
      <c r="S45" s="1" t="s">
        <v>23</v>
      </c>
      <c r="T45" s="3">
        <f t="shared" si="5"/>
        <v>4.25</v>
      </c>
      <c r="U45" s="44">
        <f>IF(Table1[[#This Row],[Initials]]="RM",$AE$10,IF(Table1[[#This Row],[Initials]]="JPH",$AE$11,IF(Table1[[#This Row],[Initials]]="IE",$AE$13,IF(Table1[[#This Row],[Initials]]="JM",$AE$14,1))))</f>
        <v>0.53</v>
      </c>
      <c r="V45" s="3">
        <f>Table1[[#This Row],[FTE %]]*Table1[[#This Row],[Time Worked]]</f>
        <v>2.2524999999999999</v>
      </c>
      <c r="W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45" s="38">
        <f t="shared" si="6"/>
        <v>0</v>
      </c>
      <c r="Y45" s="18">
        <f t="shared" si="7"/>
        <v>263.20249999999999</v>
      </c>
    </row>
    <row r="46" spans="1:25" x14ac:dyDescent="0.25">
      <c r="A46" s="10">
        <f t="shared" si="0"/>
        <v>45</v>
      </c>
      <c r="B46" s="6" t="str">
        <f t="shared" si="1"/>
        <v>72920192627JPH</v>
      </c>
      <c r="C46" s="1">
        <v>10603</v>
      </c>
      <c r="D46" s="1" t="s">
        <v>1006</v>
      </c>
      <c r="E46" s="53" t="str">
        <f t="shared" si="2"/>
        <v>Internal</v>
      </c>
      <c r="F46" s="1">
        <v>2627</v>
      </c>
      <c r="G46" s="37" t="str">
        <f>VLOOKUP(Table1[[#This Row],[WO'#]],Table2[#All],2,FALSE)</f>
        <v>2020 Nevada Geology Calendar</v>
      </c>
      <c r="H46" s="20">
        <v>43678</v>
      </c>
      <c r="I46" s="2">
        <v>43675</v>
      </c>
      <c r="J46" s="4">
        <f t="shared" si="3"/>
        <v>29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4.25</v>
      </c>
      <c r="Q46" s="3">
        <f t="shared" si="4"/>
        <v>4.25</v>
      </c>
      <c r="R46" s="1" t="s">
        <v>970</v>
      </c>
      <c r="S46" s="1" t="s">
        <v>23</v>
      </c>
      <c r="T46" s="3">
        <f t="shared" si="5"/>
        <v>4.25</v>
      </c>
      <c r="U46" s="44">
        <f>IF(Table1[[#This Row],[Initials]]="RM",$AE$10,IF(Table1[[#This Row],[Initials]]="JPH",$AE$11,IF(Table1[[#This Row],[Initials]]="IE",$AE$13,IF(Table1[[#This Row],[Initials]]="JM",$AE$14,1))))</f>
        <v>0.53</v>
      </c>
      <c r="V46" s="3">
        <f>Table1[[#This Row],[FTE %]]*Table1[[#This Row],[Time Worked]]</f>
        <v>2.2524999999999999</v>
      </c>
      <c r="W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46" s="38">
        <f t="shared" si="6"/>
        <v>0</v>
      </c>
      <c r="Y46" s="18">
        <f t="shared" si="7"/>
        <v>263.20249999999999</v>
      </c>
    </row>
    <row r="47" spans="1:25" x14ac:dyDescent="0.25">
      <c r="A47" s="10">
        <f t="shared" si="0"/>
        <v>46</v>
      </c>
      <c r="B47" s="6" t="str">
        <f t="shared" si="1"/>
        <v>73020192627JPH</v>
      </c>
      <c r="C47" s="1">
        <v>10603</v>
      </c>
      <c r="D47" s="1" t="s">
        <v>1006</v>
      </c>
      <c r="E47" s="53" t="str">
        <f t="shared" si="2"/>
        <v>Internal</v>
      </c>
      <c r="F47" s="1">
        <v>2627</v>
      </c>
      <c r="G47" s="37" t="str">
        <f>VLOOKUP(Table1[[#This Row],[WO'#]],Table2[#All],2,FALSE)</f>
        <v>2020 Nevada Geology Calendar</v>
      </c>
      <c r="H47" s="20">
        <v>43678</v>
      </c>
      <c r="I47" s="2">
        <v>43676</v>
      </c>
      <c r="J47" s="4">
        <f t="shared" si="3"/>
        <v>30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3.25</v>
      </c>
      <c r="Q47" s="3">
        <f t="shared" si="4"/>
        <v>3.25</v>
      </c>
      <c r="R47" s="1" t="s">
        <v>970</v>
      </c>
      <c r="S47" s="1" t="s">
        <v>23</v>
      </c>
      <c r="T47" s="3">
        <f t="shared" si="5"/>
        <v>3.25</v>
      </c>
      <c r="U47" s="44">
        <f>IF(Table1[[#This Row],[Initials]]="RM",$AE$10,IF(Table1[[#This Row],[Initials]]="JPH",$AE$11,IF(Table1[[#This Row],[Initials]]="IE",$AE$13,IF(Table1[[#This Row],[Initials]]="JM",$AE$14,1))))</f>
        <v>0.53</v>
      </c>
      <c r="V47" s="3">
        <f>Table1[[#This Row],[FTE %]]*Table1[[#This Row],[Time Worked]]</f>
        <v>1.7225000000000001</v>
      </c>
      <c r="W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47" s="38">
        <f t="shared" si="6"/>
        <v>0</v>
      </c>
      <c r="Y47" s="18">
        <f t="shared" si="7"/>
        <v>201.27250000000001</v>
      </c>
    </row>
    <row r="48" spans="1:25" x14ac:dyDescent="0.25">
      <c r="A48" s="10">
        <f t="shared" si="0"/>
        <v>47</v>
      </c>
      <c r="B48" s="6" t="str">
        <f t="shared" si="1"/>
        <v>73120192627JPH</v>
      </c>
      <c r="C48" s="1">
        <v>10603</v>
      </c>
      <c r="D48" s="1" t="s">
        <v>1006</v>
      </c>
      <c r="E48" s="53" t="str">
        <f t="shared" si="2"/>
        <v>Internal</v>
      </c>
      <c r="F48" s="1">
        <v>2627</v>
      </c>
      <c r="G48" s="37" t="str">
        <f>VLOOKUP(Table1[[#This Row],[WO'#]],Table2[#All],2,FALSE)</f>
        <v>2020 Nevada Geology Calendar</v>
      </c>
      <c r="H48" s="20">
        <v>43678</v>
      </c>
      <c r="I48" s="2">
        <v>43677</v>
      </c>
      <c r="J48" s="4">
        <f t="shared" si="3"/>
        <v>31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3.25</v>
      </c>
      <c r="Q48" s="3">
        <f t="shared" si="4"/>
        <v>3.25</v>
      </c>
      <c r="R48" s="1" t="s">
        <v>970</v>
      </c>
      <c r="S48" s="1" t="s">
        <v>23</v>
      </c>
      <c r="T48" s="3">
        <f t="shared" si="5"/>
        <v>3.25</v>
      </c>
      <c r="U48" s="44">
        <f>IF(Table1[[#This Row],[Initials]]="RM",$AE$10,IF(Table1[[#This Row],[Initials]]="JPH",$AE$11,IF(Table1[[#This Row],[Initials]]="IE",$AE$13,IF(Table1[[#This Row],[Initials]]="JM",$AE$14,1))))</f>
        <v>0.53</v>
      </c>
      <c r="V48" s="3">
        <f>Table1[[#This Row],[FTE %]]*Table1[[#This Row],[Time Worked]]</f>
        <v>1.7225000000000001</v>
      </c>
      <c r="W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48" s="38">
        <f t="shared" si="6"/>
        <v>0</v>
      </c>
      <c r="Y48" s="18">
        <f t="shared" si="7"/>
        <v>201.27250000000001</v>
      </c>
    </row>
    <row r="49" spans="1:25" x14ac:dyDescent="0.25">
      <c r="A49" s="10">
        <f t="shared" si="0"/>
        <v>48</v>
      </c>
      <c r="B49" s="6" t="str">
        <f t="shared" si="1"/>
        <v>71820192617IE</v>
      </c>
      <c r="C49" s="1">
        <v>10606</v>
      </c>
      <c r="D49" s="1" t="s">
        <v>1011</v>
      </c>
      <c r="E49" s="53" t="str">
        <f t="shared" si="2"/>
        <v>External</v>
      </c>
      <c r="F49" s="1">
        <v>2617</v>
      </c>
      <c r="G49" s="37" t="str">
        <f>VLOOKUP(Table1[[#This Row],[WO'#]],Table2[#All],2,FALSE)</f>
        <v>Gabbs Valley</v>
      </c>
      <c r="H49" s="20">
        <v>43678</v>
      </c>
      <c r="I49" s="2">
        <v>43664</v>
      </c>
      <c r="J49" s="4">
        <f t="shared" si="3"/>
        <v>18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3</v>
      </c>
      <c r="Q49" s="3">
        <f t="shared" si="4"/>
        <v>3</v>
      </c>
      <c r="R49" s="1" t="s">
        <v>971</v>
      </c>
      <c r="S49" s="1" t="s">
        <v>23</v>
      </c>
      <c r="T49" s="3">
        <f t="shared" si="5"/>
        <v>3</v>
      </c>
      <c r="U49" s="44">
        <f>IF(Table1[[#This Row],[Initials]]="RM",$AE$10,IF(Table1[[#This Row],[Initials]]="JPH",$AE$11,IF(Table1[[#This Row],[Initials]]="IE",$AE$13,IF(Table1[[#This Row],[Initials]]="JM",$AE$14,1))))</f>
        <v>1</v>
      </c>
      <c r="V49" s="3">
        <f>Table1[[#This Row],[FTE %]]*Table1[[#This Row],[Time Worked]]</f>
        <v>3</v>
      </c>
      <c r="W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9" s="38">
        <f t="shared" si="6"/>
        <v>0</v>
      </c>
      <c r="Y49" s="18">
        <f t="shared" si="7"/>
        <v>185.79</v>
      </c>
    </row>
    <row r="50" spans="1:25" x14ac:dyDescent="0.25">
      <c r="A50" s="10">
        <f t="shared" si="0"/>
        <v>49</v>
      </c>
      <c r="B50" s="6" t="str">
        <f t="shared" si="1"/>
        <v>72220192617IE</v>
      </c>
      <c r="C50" s="1">
        <v>10606</v>
      </c>
      <c r="D50" s="1" t="s">
        <v>1011</v>
      </c>
      <c r="E50" s="53" t="str">
        <f t="shared" si="2"/>
        <v>External</v>
      </c>
      <c r="F50" s="1">
        <v>2617</v>
      </c>
      <c r="G50" s="37" t="str">
        <f>VLOOKUP(Table1[[#This Row],[WO'#]],Table2[#All],2,FALSE)</f>
        <v>Gabbs Valley</v>
      </c>
      <c r="H50" s="20">
        <v>43678</v>
      </c>
      <c r="I50" s="2">
        <v>43668</v>
      </c>
      <c r="J50" s="4">
        <f t="shared" si="3"/>
        <v>22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1.25</v>
      </c>
      <c r="Q50" s="3">
        <f t="shared" si="4"/>
        <v>1.25</v>
      </c>
      <c r="R50" s="1" t="s">
        <v>971</v>
      </c>
      <c r="S50" s="1" t="s">
        <v>23</v>
      </c>
      <c r="T50" s="3">
        <f t="shared" si="5"/>
        <v>1.25</v>
      </c>
      <c r="U50" s="44">
        <f>IF(Table1[[#This Row],[Initials]]="RM",$AE$10,IF(Table1[[#This Row],[Initials]]="JPH",$AE$11,IF(Table1[[#This Row],[Initials]]="IE",$AE$13,IF(Table1[[#This Row],[Initials]]="JM",$AE$14,1))))</f>
        <v>1</v>
      </c>
      <c r="V50" s="3">
        <f>Table1[[#This Row],[FTE %]]*Table1[[#This Row],[Time Worked]]</f>
        <v>1.25</v>
      </c>
      <c r="W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50" s="38">
        <f t="shared" si="6"/>
        <v>0</v>
      </c>
      <c r="Y50" s="18">
        <f t="shared" si="7"/>
        <v>77.412499999999994</v>
      </c>
    </row>
    <row r="51" spans="1:25" x14ac:dyDescent="0.25">
      <c r="A51" s="10">
        <f t="shared" si="0"/>
        <v>50</v>
      </c>
      <c r="B51" s="6" t="str">
        <f t="shared" si="1"/>
        <v>72320192617IE</v>
      </c>
      <c r="C51" s="1">
        <v>10606</v>
      </c>
      <c r="D51" s="1" t="s">
        <v>1011</v>
      </c>
      <c r="E51" s="53" t="str">
        <f t="shared" si="2"/>
        <v>External</v>
      </c>
      <c r="F51" s="1">
        <v>2617</v>
      </c>
      <c r="G51" s="37" t="str">
        <f>VLOOKUP(Table1[[#This Row],[WO'#]],Table2[#All],2,FALSE)</f>
        <v>Gabbs Valley</v>
      </c>
      <c r="H51" s="20">
        <v>43678</v>
      </c>
      <c r="I51" s="2">
        <v>43669</v>
      </c>
      <c r="J51" s="4">
        <f t="shared" si="3"/>
        <v>23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1</v>
      </c>
      <c r="Q51" s="3">
        <f t="shared" si="4"/>
        <v>1</v>
      </c>
      <c r="R51" s="1" t="s">
        <v>971</v>
      </c>
      <c r="S51" s="1" t="s">
        <v>23</v>
      </c>
      <c r="T51" s="3">
        <f t="shared" si="5"/>
        <v>1</v>
      </c>
      <c r="U51" s="44">
        <f>IF(Table1[[#This Row],[Initials]]="RM",$AE$10,IF(Table1[[#This Row],[Initials]]="JPH",$AE$11,IF(Table1[[#This Row],[Initials]]="IE",$AE$13,IF(Table1[[#This Row],[Initials]]="JM",$AE$14,1))))</f>
        <v>1</v>
      </c>
      <c r="V51" s="3">
        <f>Table1[[#This Row],[FTE %]]*Table1[[#This Row],[Time Worked]]</f>
        <v>1</v>
      </c>
      <c r="W5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51" s="38">
        <f t="shared" si="6"/>
        <v>0</v>
      </c>
      <c r="Y51" s="18">
        <f t="shared" si="7"/>
        <v>61.93</v>
      </c>
    </row>
    <row r="52" spans="1:25" x14ac:dyDescent="0.25">
      <c r="A52" s="10">
        <f t="shared" si="0"/>
        <v>51</v>
      </c>
      <c r="B52" s="6" t="str">
        <f t="shared" si="1"/>
        <v>72520192617IE</v>
      </c>
      <c r="C52" s="1">
        <v>10606</v>
      </c>
      <c r="D52" s="1" t="s">
        <v>1011</v>
      </c>
      <c r="E52" s="53" t="str">
        <f t="shared" si="2"/>
        <v>External</v>
      </c>
      <c r="F52" s="1">
        <v>2617</v>
      </c>
      <c r="G52" s="37" t="str">
        <f>VLOOKUP(Table1[[#This Row],[WO'#]],Table2[#All],2,FALSE)</f>
        <v>Gabbs Valley</v>
      </c>
      <c r="H52" s="20">
        <v>43678</v>
      </c>
      <c r="I52" s="2">
        <v>43671</v>
      </c>
      <c r="J52" s="4">
        <f t="shared" si="3"/>
        <v>25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2.25</v>
      </c>
      <c r="Q52" s="3">
        <f t="shared" si="4"/>
        <v>2.25</v>
      </c>
      <c r="R52" s="1" t="s">
        <v>971</v>
      </c>
      <c r="S52" s="1" t="s">
        <v>23</v>
      </c>
      <c r="T52" s="3">
        <f t="shared" si="5"/>
        <v>2.25</v>
      </c>
      <c r="U52" s="44">
        <f>IF(Table1[[#This Row],[Initials]]="RM",$AE$10,IF(Table1[[#This Row],[Initials]]="JPH",$AE$11,IF(Table1[[#This Row],[Initials]]="IE",$AE$13,IF(Table1[[#This Row],[Initials]]="JM",$AE$14,1))))</f>
        <v>1</v>
      </c>
      <c r="V52" s="3">
        <f>Table1[[#This Row],[FTE %]]*Table1[[#This Row],[Time Worked]]</f>
        <v>2.25</v>
      </c>
      <c r="W5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52" s="38">
        <f t="shared" si="6"/>
        <v>0</v>
      </c>
      <c r="Y52" s="18">
        <f t="shared" si="7"/>
        <v>139.3425</v>
      </c>
    </row>
    <row r="53" spans="1:25" x14ac:dyDescent="0.25">
      <c r="A53" s="10">
        <f t="shared" si="0"/>
        <v>52</v>
      </c>
      <c r="B53" s="6" t="str">
        <f t="shared" si="1"/>
        <v>71820192590IE</v>
      </c>
      <c r="C53" s="1">
        <v>10611</v>
      </c>
      <c r="D53" s="1" t="s">
        <v>1025</v>
      </c>
      <c r="E53" s="53" t="str">
        <f t="shared" si="2"/>
        <v>External</v>
      </c>
      <c r="F53" s="1">
        <v>2590</v>
      </c>
      <c r="G53" s="37" t="str">
        <f>VLOOKUP(Table1[[#This Row],[WO'#]],Table2[#All],2,FALSE)</f>
        <v>Forge Geologic Map</v>
      </c>
      <c r="H53" s="20">
        <v>43678</v>
      </c>
      <c r="I53" s="2">
        <v>43664</v>
      </c>
      <c r="J53" s="4">
        <f t="shared" si="3"/>
        <v>18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1</v>
      </c>
      <c r="Q53" s="3">
        <f t="shared" si="4"/>
        <v>1</v>
      </c>
      <c r="R53" s="1" t="s">
        <v>971</v>
      </c>
      <c r="S53" s="1" t="s">
        <v>23</v>
      </c>
      <c r="T53" s="3">
        <f t="shared" si="5"/>
        <v>1</v>
      </c>
      <c r="U53" s="44">
        <f>IF(Table1[[#This Row],[Initials]]="RM",$AE$10,IF(Table1[[#This Row],[Initials]]="JPH",$AE$11,IF(Table1[[#This Row],[Initials]]="IE",$AE$13,IF(Table1[[#This Row],[Initials]]="JM",$AE$14,1))))</f>
        <v>1</v>
      </c>
      <c r="V53" s="3">
        <f>Table1[[#This Row],[FTE %]]*Table1[[#This Row],[Time Worked]]</f>
        <v>1</v>
      </c>
      <c r="W5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53" s="38">
        <f t="shared" si="6"/>
        <v>0</v>
      </c>
      <c r="Y53" s="18">
        <f t="shared" si="7"/>
        <v>61.93</v>
      </c>
    </row>
    <row r="54" spans="1:25" x14ac:dyDescent="0.25">
      <c r="A54" s="10">
        <f t="shared" si="0"/>
        <v>53</v>
      </c>
      <c r="B54" s="6" t="str">
        <f t="shared" si="1"/>
        <v>8120192627JPH</v>
      </c>
      <c r="C54" s="1">
        <v>10755</v>
      </c>
      <c r="D54" s="1" t="s">
        <v>1006</v>
      </c>
      <c r="E54" s="53" t="str">
        <f t="shared" si="2"/>
        <v>Internal</v>
      </c>
      <c r="F54" s="1">
        <v>2627</v>
      </c>
      <c r="G54" s="37" t="str">
        <f>VLOOKUP(Table1[[#This Row],[WO'#]],Table2[#All],2,FALSE)</f>
        <v>2020 Nevada Geology Calendar</v>
      </c>
      <c r="H54" s="20">
        <v>43689</v>
      </c>
      <c r="I54" s="2">
        <v>43678</v>
      </c>
      <c r="J54" s="4">
        <f t="shared" si="3"/>
        <v>1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4.25</v>
      </c>
      <c r="Q54" s="3">
        <f t="shared" si="4"/>
        <v>4.25</v>
      </c>
      <c r="R54" s="1" t="s">
        <v>970</v>
      </c>
      <c r="S54" s="1" t="s">
        <v>23</v>
      </c>
      <c r="T54" s="3">
        <f t="shared" si="5"/>
        <v>4.25</v>
      </c>
      <c r="U54" s="44">
        <f>IF(Table1[[#This Row],[Initials]]="RM",$AE$10,IF(Table1[[#This Row],[Initials]]="JPH",$AE$11,IF(Table1[[#This Row],[Initials]]="IE",$AE$13,IF(Table1[[#This Row],[Initials]]="JM",$AE$14,1))))</f>
        <v>0.53</v>
      </c>
      <c r="V54" s="3">
        <f>Table1[[#This Row],[FTE %]]*Table1[[#This Row],[Time Worked]]</f>
        <v>2.2524999999999999</v>
      </c>
      <c r="W5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4" s="38">
        <f t="shared" si="6"/>
        <v>0</v>
      </c>
      <c r="Y54" s="18">
        <f t="shared" si="7"/>
        <v>263.20249999999999</v>
      </c>
    </row>
    <row r="55" spans="1:25" x14ac:dyDescent="0.25">
      <c r="A55" s="10">
        <f t="shared" si="0"/>
        <v>54</v>
      </c>
      <c r="B55" s="6" t="str">
        <f t="shared" si="1"/>
        <v>8220192627JPH</v>
      </c>
      <c r="C55" s="1">
        <v>10755</v>
      </c>
      <c r="D55" s="1" t="s">
        <v>1006</v>
      </c>
      <c r="E55" s="53" t="str">
        <f t="shared" si="2"/>
        <v>Internal</v>
      </c>
      <c r="F55" s="1">
        <v>2627</v>
      </c>
      <c r="G55" s="37" t="str">
        <f>VLOOKUP(Table1[[#This Row],[WO'#]],Table2[#All],2,FALSE)</f>
        <v>2020 Nevada Geology Calendar</v>
      </c>
      <c r="H55" s="20">
        <v>43689</v>
      </c>
      <c r="I55" s="2">
        <v>43679</v>
      </c>
      <c r="J55" s="4">
        <f t="shared" si="3"/>
        <v>2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1.25</v>
      </c>
      <c r="Q55" s="3">
        <f t="shared" si="4"/>
        <v>1.25</v>
      </c>
      <c r="R55" s="1" t="s">
        <v>970</v>
      </c>
      <c r="S55" s="1" t="s">
        <v>23</v>
      </c>
      <c r="T55" s="3">
        <f t="shared" si="5"/>
        <v>1.25</v>
      </c>
      <c r="U55" s="44">
        <f>IF(Table1[[#This Row],[Initials]]="RM",$AE$10,IF(Table1[[#This Row],[Initials]]="JPH",$AE$11,IF(Table1[[#This Row],[Initials]]="IE",$AE$13,IF(Table1[[#This Row],[Initials]]="JM",$AE$14,1))))</f>
        <v>0.53</v>
      </c>
      <c r="V55" s="3">
        <f>Table1[[#This Row],[FTE %]]*Table1[[#This Row],[Time Worked]]</f>
        <v>0.66250000000000009</v>
      </c>
      <c r="W5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55" s="38">
        <f t="shared" si="6"/>
        <v>0</v>
      </c>
      <c r="Y55" s="18">
        <f t="shared" si="7"/>
        <v>77.412499999999994</v>
      </c>
    </row>
    <row r="56" spans="1:25" x14ac:dyDescent="0.25">
      <c r="A56" s="10">
        <f t="shared" si="0"/>
        <v>55</v>
      </c>
      <c r="B56" s="6" t="str">
        <f t="shared" si="1"/>
        <v>8520192627JPH</v>
      </c>
      <c r="C56" s="1">
        <v>10755</v>
      </c>
      <c r="D56" s="1" t="s">
        <v>1006</v>
      </c>
      <c r="E56" s="53" t="str">
        <f t="shared" si="2"/>
        <v>Internal</v>
      </c>
      <c r="F56" s="1">
        <v>2627</v>
      </c>
      <c r="G56" s="37" t="str">
        <f>VLOOKUP(Table1[[#This Row],[WO'#]],Table2[#All],2,FALSE)</f>
        <v>2020 Nevada Geology Calendar</v>
      </c>
      <c r="H56" s="20">
        <v>43689</v>
      </c>
      <c r="I56" s="2">
        <v>43682</v>
      </c>
      <c r="J56" s="4">
        <f t="shared" si="3"/>
        <v>5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4.25</v>
      </c>
      <c r="Q56" s="3">
        <f t="shared" si="4"/>
        <v>4.25</v>
      </c>
      <c r="R56" s="1" t="s">
        <v>970</v>
      </c>
      <c r="S56" s="1" t="s">
        <v>23</v>
      </c>
      <c r="T56" s="3">
        <f t="shared" si="5"/>
        <v>4.25</v>
      </c>
      <c r="U56" s="44">
        <f>IF(Table1[[#This Row],[Initials]]="RM",$AE$10,IF(Table1[[#This Row],[Initials]]="JPH",$AE$11,IF(Table1[[#This Row],[Initials]]="IE",$AE$13,IF(Table1[[#This Row],[Initials]]="JM",$AE$14,1))))</f>
        <v>0.53</v>
      </c>
      <c r="V56" s="3">
        <f>Table1[[#This Row],[FTE %]]*Table1[[#This Row],[Time Worked]]</f>
        <v>2.2524999999999999</v>
      </c>
      <c r="W5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6" s="38">
        <f t="shared" si="6"/>
        <v>0</v>
      </c>
      <c r="Y56" s="18">
        <f t="shared" si="7"/>
        <v>263.20249999999999</v>
      </c>
    </row>
    <row r="57" spans="1:25" x14ac:dyDescent="0.25">
      <c r="A57" s="10">
        <f t="shared" si="0"/>
        <v>56</v>
      </c>
      <c r="B57" s="6" t="str">
        <f t="shared" si="1"/>
        <v>8620192627JPH</v>
      </c>
      <c r="C57" s="1">
        <v>10755</v>
      </c>
      <c r="D57" s="1" t="s">
        <v>1006</v>
      </c>
      <c r="E57" s="53" t="str">
        <f t="shared" si="2"/>
        <v>Internal</v>
      </c>
      <c r="F57" s="1">
        <v>2627</v>
      </c>
      <c r="G57" s="37" t="str">
        <f>VLOOKUP(Table1[[#This Row],[WO'#]],Table2[#All],2,FALSE)</f>
        <v>2020 Nevada Geology Calendar</v>
      </c>
      <c r="H57" s="20">
        <v>43689</v>
      </c>
      <c r="I57" s="2">
        <v>43683</v>
      </c>
      <c r="J57" s="4">
        <f t="shared" si="3"/>
        <v>6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4.25</v>
      </c>
      <c r="Q57" s="3">
        <f t="shared" si="4"/>
        <v>4.25</v>
      </c>
      <c r="R57" s="1" t="s">
        <v>970</v>
      </c>
      <c r="S57" s="1" t="s">
        <v>23</v>
      </c>
      <c r="T57" s="3">
        <f t="shared" si="5"/>
        <v>4.25</v>
      </c>
      <c r="U57" s="44">
        <f>IF(Table1[[#This Row],[Initials]]="RM",$AE$10,IF(Table1[[#This Row],[Initials]]="JPH",$AE$11,IF(Table1[[#This Row],[Initials]]="IE",$AE$13,IF(Table1[[#This Row],[Initials]]="JM",$AE$14,1))))</f>
        <v>0.53</v>
      </c>
      <c r="V57" s="3">
        <f>Table1[[#This Row],[FTE %]]*Table1[[#This Row],[Time Worked]]</f>
        <v>2.2524999999999999</v>
      </c>
      <c r="W5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7" s="38">
        <f t="shared" si="6"/>
        <v>0</v>
      </c>
      <c r="Y57" s="18">
        <f t="shared" si="7"/>
        <v>263.20249999999999</v>
      </c>
    </row>
    <row r="58" spans="1:25" x14ac:dyDescent="0.25">
      <c r="A58" s="10">
        <f t="shared" si="0"/>
        <v>57</v>
      </c>
      <c r="B58" s="6" t="str">
        <f t="shared" si="1"/>
        <v>8720192627JPH</v>
      </c>
      <c r="C58" s="1">
        <v>10755</v>
      </c>
      <c r="D58" s="1" t="s">
        <v>1006</v>
      </c>
      <c r="E58" s="53" t="str">
        <f t="shared" si="2"/>
        <v>Internal</v>
      </c>
      <c r="F58" s="1">
        <v>2627</v>
      </c>
      <c r="G58" s="37" t="str">
        <f>VLOOKUP(Table1[[#This Row],[WO'#]],Table2[#All],2,FALSE)</f>
        <v>2020 Nevada Geology Calendar</v>
      </c>
      <c r="H58" s="20">
        <v>43689</v>
      </c>
      <c r="I58" s="2">
        <v>43684</v>
      </c>
      <c r="J58" s="4">
        <f t="shared" si="3"/>
        <v>7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4.25</v>
      </c>
      <c r="Q58" s="3">
        <f t="shared" si="4"/>
        <v>4.25</v>
      </c>
      <c r="R58" s="1" t="s">
        <v>970</v>
      </c>
      <c r="S58" s="1" t="s">
        <v>23</v>
      </c>
      <c r="T58" s="3">
        <f t="shared" si="5"/>
        <v>4.25</v>
      </c>
      <c r="U58" s="44">
        <f>IF(Table1[[#This Row],[Initials]]="RM",$AE$10,IF(Table1[[#This Row],[Initials]]="JPH",$AE$11,IF(Table1[[#This Row],[Initials]]="IE",$AE$13,IF(Table1[[#This Row],[Initials]]="JM",$AE$14,1))))</f>
        <v>0.53</v>
      </c>
      <c r="V58" s="3">
        <f>Table1[[#This Row],[FTE %]]*Table1[[#This Row],[Time Worked]]</f>
        <v>2.2524999999999999</v>
      </c>
      <c r="W5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8" s="38">
        <f t="shared" si="6"/>
        <v>0</v>
      </c>
      <c r="Y58" s="18">
        <f t="shared" si="7"/>
        <v>263.20249999999999</v>
      </c>
    </row>
    <row r="59" spans="1:25" x14ac:dyDescent="0.25">
      <c r="A59" s="10">
        <f t="shared" si="0"/>
        <v>58</v>
      </c>
      <c r="B59" s="6" t="str">
        <f t="shared" si="1"/>
        <v>8820192627JPH</v>
      </c>
      <c r="C59" s="1">
        <v>10755</v>
      </c>
      <c r="D59" s="1" t="s">
        <v>1006</v>
      </c>
      <c r="E59" s="53" t="str">
        <f t="shared" si="2"/>
        <v>Internal</v>
      </c>
      <c r="F59" s="1">
        <v>2627</v>
      </c>
      <c r="G59" s="37" t="str">
        <f>VLOOKUP(Table1[[#This Row],[WO'#]],Table2[#All],2,FALSE)</f>
        <v>2020 Nevada Geology Calendar</v>
      </c>
      <c r="H59" s="20">
        <v>43689</v>
      </c>
      <c r="I59" s="2">
        <v>43685</v>
      </c>
      <c r="J59" s="4">
        <f t="shared" si="3"/>
        <v>8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4.25</v>
      </c>
      <c r="Q59" s="3">
        <f t="shared" si="4"/>
        <v>4.25</v>
      </c>
      <c r="R59" s="1" t="s">
        <v>970</v>
      </c>
      <c r="S59" s="1" t="s">
        <v>23</v>
      </c>
      <c r="T59" s="3">
        <f t="shared" si="5"/>
        <v>4.25</v>
      </c>
      <c r="U59" s="44">
        <f>IF(Table1[[#This Row],[Initials]]="RM",$AE$10,IF(Table1[[#This Row],[Initials]]="JPH",$AE$11,IF(Table1[[#This Row],[Initials]]="IE",$AE$13,IF(Table1[[#This Row],[Initials]]="JM",$AE$14,1))))</f>
        <v>0.53</v>
      </c>
      <c r="V59" s="3">
        <f>Table1[[#This Row],[FTE %]]*Table1[[#This Row],[Time Worked]]</f>
        <v>2.2524999999999999</v>
      </c>
      <c r="W5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9" s="38">
        <f t="shared" si="6"/>
        <v>0</v>
      </c>
      <c r="Y59" s="18">
        <f t="shared" si="7"/>
        <v>263.20249999999999</v>
      </c>
    </row>
    <row r="60" spans="1:25" x14ac:dyDescent="0.25">
      <c r="A60" s="10">
        <f t="shared" si="0"/>
        <v>59</v>
      </c>
      <c r="B60" s="6" t="str">
        <f t="shared" si="1"/>
        <v>8720192651IE</v>
      </c>
      <c r="C60" s="1">
        <v>10759</v>
      </c>
      <c r="D60" s="1" t="s">
        <v>1032</v>
      </c>
      <c r="E60" s="53" t="str">
        <f t="shared" si="2"/>
        <v>Internal</v>
      </c>
      <c r="F60" s="1">
        <v>2651</v>
      </c>
      <c r="G60" s="37" t="str">
        <f>VLOOKUP(Table1[[#This Row],[WO'#]],Table2[#All],2,FALSE)</f>
        <v>Petrified Springs Fault Geologic Map</v>
      </c>
      <c r="H60" s="20">
        <v>43689</v>
      </c>
      <c r="I60" s="2">
        <v>43684</v>
      </c>
      <c r="J60" s="4">
        <f t="shared" si="3"/>
        <v>7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7.25</v>
      </c>
      <c r="Q60" s="3">
        <f t="shared" si="4"/>
        <v>7.25</v>
      </c>
      <c r="R60" s="1" t="s">
        <v>971</v>
      </c>
      <c r="S60" s="1" t="s">
        <v>23</v>
      </c>
      <c r="T60" s="3">
        <f t="shared" si="5"/>
        <v>7.25</v>
      </c>
      <c r="U60" s="44">
        <f>IF(Table1[[#This Row],[Initials]]="RM",$AE$10,IF(Table1[[#This Row],[Initials]]="JPH",$AE$11,IF(Table1[[#This Row],[Initials]]="IE",$AE$13,IF(Table1[[#This Row],[Initials]]="JM",$AE$14,1))))</f>
        <v>1</v>
      </c>
      <c r="V60" s="3">
        <f>Table1[[#This Row],[FTE %]]*Table1[[#This Row],[Time Worked]]</f>
        <v>7.25</v>
      </c>
      <c r="W6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448.99250000000001</v>
      </c>
      <c r="X60" s="38">
        <f t="shared" si="6"/>
        <v>0</v>
      </c>
      <c r="Y60" s="18">
        <f t="shared" si="7"/>
        <v>448.99250000000001</v>
      </c>
    </row>
    <row r="61" spans="1:25" x14ac:dyDescent="0.25">
      <c r="A61" s="10">
        <f t="shared" si="0"/>
        <v>60</v>
      </c>
      <c r="B61" s="6" t="str">
        <f t="shared" si="1"/>
        <v>8820192651IE</v>
      </c>
      <c r="C61" s="1">
        <v>10759</v>
      </c>
      <c r="D61" s="1" t="s">
        <v>1032</v>
      </c>
      <c r="E61" s="53" t="str">
        <f t="shared" si="2"/>
        <v>Internal</v>
      </c>
      <c r="F61" s="1">
        <v>2651</v>
      </c>
      <c r="G61" s="37" t="str">
        <f>VLOOKUP(Table1[[#This Row],[WO'#]],Table2[#All],2,FALSE)</f>
        <v>Petrified Springs Fault Geologic Map</v>
      </c>
      <c r="H61" s="20">
        <v>43689</v>
      </c>
      <c r="I61" s="2">
        <v>43685</v>
      </c>
      <c r="J61" s="4">
        <f t="shared" si="3"/>
        <v>8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4.5</v>
      </c>
      <c r="Q61" s="3">
        <f t="shared" si="4"/>
        <v>4.5</v>
      </c>
      <c r="R61" s="1" t="s">
        <v>971</v>
      </c>
      <c r="S61" s="1" t="s">
        <v>23</v>
      </c>
      <c r="T61" s="3">
        <f t="shared" si="5"/>
        <v>4.5</v>
      </c>
      <c r="U61" s="44">
        <f>IF(Table1[[#This Row],[Initials]]="RM",$AE$10,IF(Table1[[#This Row],[Initials]]="JPH",$AE$11,IF(Table1[[#This Row],[Initials]]="IE",$AE$13,IF(Table1[[#This Row],[Initials]]="JM",$AE$14,1))))</f>
        <v>1</v>
      </c>
      <c r="V61" s="3">
        <f>Table1[[#This Row],[FTE %]]*Table1[[#This Row],[Time Worked]]</f>
        <v>4.5</v>
      </c>
      <c r="W6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61" s="38">
        <f t="shared" si="6"/>
        <v>0</v>
      </c>
      <c r="Y61" s="18">
        <f t="shared" si="7"/>
        <v>278.685</v>
      </c>
    </row>
    <row r="62" spans="1:25" x14ac:dyDescent="0.25">
      <c r="A62" s="10">
        <f t="shared" si="0"/>
        <v>61</v>
      </c>
      <c r="B62" s="6" t="str">
        <f t="shared" si="1"/>
        <v>8820192595IE</v>
      </c>
      <c r="C62" s="1">
        <v>10760</v>
      </c>
      <c r="D62" s="1" t="s">
        <v>1008</v>
      </c>
      <c r="E62" s="53" t="str">
        <f t="shared" si="2"/>
        <v>External</v>
      </c>
      <c r="F62" s="1">
        <v>2595</v>
      </c>
      <c r="G62" s="37" t="str">
        <f>VLOOKUP(Table1[[#This Row],[WO'#]],Table2[#All],2,FALSE)</f>
        <v>SM18 Granite Peak</v>
      </c>
      <c r="H62" s="20">
        <v>43689</v>
      </c>
      <c r="I62" s="2">
        <v>43685</v>
      </c>
      <c r="J62" s="4">
        <f t="shared" si="3"/>
        <v>8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0.75</v>
      </c>
      <c r="Q62" s="3">
        <f t="shared" si="4"/>
        <v>0.75</v>
      </c>
      <c r="R62" s="1" t="s">
        <v>971</v>
      </c>
      <c r="S62" s="1" t="s">
        <v>23</v>
      </c>
      <c r="T62" s="3">
        <f t="shared" si="5"/>
        <v>0.75</v>
      </c>
      <c r="U62" s="44">
        <f>IF(Table1[[#This Row],[Initials]]="RM",$AE$10,IF(Table1[[#This Row],[Initials]]="JPH",$AE$11,IF(Table1[[#This Row],[Initials]]="IE",$AE$13,IF(Table1[[#This Row],[Initials]]="JM",$AE$14,1))))</f>
        <v>1</v>
      </c>
      <c r="V62" s="3">
        <f>Table1[[#This Row],[FTE %]]*Table1[[#This Row],[Time Worked]]</f>
        <v>0.75</v>
      </c>
      <c r="W6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62" s="38">
        <f t="shared" si="6"/>
        <v>0</v>
      </c>
      <c r="Y62" s="18">
        <f t="shared" si="7"/>
        <v>46.447499999999998</v>
      </c>
    </row>
    <row r="63" spans="1:25" x14ac:dyDescent="0.25">
      <c r="A63" s="10">
        <f t="shared" si="0"/>
        <v>62</v>
      </c>
      <c r="B63" s="6" t="str">
        <f t="shared" si="1"/>
        <v>8820192595JM</v>
      </c>
      <c r="C63" s="1">
        <v>10760</v>
      </c>
      <c r="D63" s="1" t="s">
        <v>1008</v>
      </c>
      <c r="E63" s="53" t="str">
        <f t="shared" si="2"/>
        <v>External</v>
      </c>
      <c r="F63" s="1">
        <v>2595</v>
      </c>
      <c r="G63" s="37" t="str">
        <f>VLOOKUP(Table1[[#This Row],[WO'#]],Table2[#All],2,FALSE)</f>
        <v>SM18 Granite Peak</v>
      </c>
      <c r="H63" s="20">
        <v>43689</v>
      </c>
      <c r="I63" s="2">
        <v>43685</v>
      </c>
      <c r="J63" s="4">
        <f t="shared" si="3"/>
        <v>8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0.25</v>
      </c>
      <c r="Q63" s="3">
        <f t="shared" si="4"/>
        <v>0.25</v>
      </c>
      <c r="R63" s="1" t="s">
        <v>972</v>
      </c>
      <c r="S63" s="1" t="s">
        <v>23</v>
      </c>
      <c r="T63" s="3">
        <f t="shared" si="5"/>
        <v>0.25</v>
      </c>
      <c r="U63" s="44">
        <f>IF(Table1[[#This Row],[Initials]]="RM",$AE$10,IF(Table1[[#This Row],[Initials]]="JPH",$AE$11,IF(Table1[[#This Row],[Initials]]="IE",$AE$13,IF(Table1[[#This Row],[Initials]]="JM",$AE$14,1))))</f>
        <v>0.39500000000000002</v>
      </c>
      <c r="V63" s="3">
        <f>Table1[[#This Row],[FTE %]]*Table1[[#This Row],[Time Worked]]</f>
        <v>9.8750000000000004E-2</v>
      </c>
      <c r="W6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63" s="38">
        <f t="shared" si="6"/>
        <v>0</v>
      </c>
      <c r="Y63" s="18">
        <f t="shared" si="7"/>
        <v>15.4825</v>
      </c>
    </row>
    <row r="64" spans="1:25" x14ac:dyDescent="0.25">
      <c r="A64" s="10">
        <f t="shared" si="0"/>
        <v>63</v>
      </c>
      <c r="B64" s="6" t="str">
        <f t="shared" si="1"/>
        <v>8220192606JM</v>
      </c>
      <c r="C64" s="1">
        <v>10760</v>
      </c>
      <c r="D64" s="1" t="s">
        <v>1007</v>
      </c>
      <c r="E64" s="53" t="str">
        <f t="shared" si="2"/>
        <v>External</v>
      </c>
      <c r="F64" s="1">
        <v>2606</v>
      </c>
      <c r="G64" s="37" t="str">
        <f>VLOOKUP(Table1[[#This Row],[WO'#]],Table2[#All],2,FALSE)</f>
        <v>SM18 Independence Valley</v>
      </c>
      <c r="H64" s="20">
        <v>43689</v>
      </c>
      <c r="I64" s="2">
        <v>43679</v>
      </c>
      <c r="J64" s="4">
        <f t="shared" si="3"/>
        <v>2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0.25</v>
      </c>
      <c r="Q64" s="3">
        <f t="shared" si="4"/>
        <v>0.25</v>
      </c>
      <c r="R64" s="1" t="s">
        <v>972</v>
      </c>
      <c r="S64" s="1" t="s">
        <v>23</v>
      </c>
      <c r="T64" s="3">
        <f t="shared" si="5"/>
        <v>0.25</v>
      </c>
      <c r="U64" s="44">
        <f>IF(Table1[[#This Row],[Initials]]="RM",$AE$10,IF(Table1[[#This Row],[Initials]]="JPH",$AE$11,IF(Table1[[#This Row],[Initials]]="IE",$AE$13,IF(Table1[[#This Row],[Initials]]="JM",$AE$14,1))))</f>
        <v>0.39500000000000002</v>
      </c>
      <c r="V64" s="3">
        <f>Table1[[#This Row],[FTE %]]*Table1[[#This Row],[Time Worked]]</f>
        <v>9.8750000000000004E-2</v>
      </c>
      <c r="W6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64" s="38">
        <f t="shared" si="6"/>
        <v>0</v>
      </c>
      <c r="Y64" s="18">
        <f t="shared" si="7"/>
        <v>15.4825</v>
      </c>
    </row>
    <row r="65" spans="1:25" x14ac:dyDescent="0.25">
      <c r="A65" s="10">
        <f t="shared" si="0"/>
        <v>64</v>
      </c>
      <c r="B65" s="6" t="str">
        <f t="shared" si="1"/>
        <v>8620192606IE</v>
      </c>
      <c r="C65" s="1">
        <v>10760</v>
      </c>
      <c r="D65" s="1" t="s">
        <v>1007</v>
      </c>
      <c r="E65" s="53" t="str">
        <f t="shared" si="2"/>
        <v>External</v>
      </c>
      <c r="F65" s="1">
        <v>2606</v>
      </c>
      <c r="G65" s="37" t="str">
        <f>VLOOKUP(Table1[[#This Row],[WO'#]],Table2[#All],2,FALSE)</f>
        <v>SM18 Independence Valley</v>
      </c>
      <c r="H65" s="20">
        <v>43689</v>
      </c>
      <c r="I65" s="2">
        <v>43683</v>
      </c>
      <c r="J65" s="4">
        <f t="shared" si="3"/>
        <v>6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4.25</v>
      </c>
      <c r="Q65" s="3">
        <f t="shared" si="4"/>
        <v>4.25</v>
      </c>
      <c r="R65" s="1" t="s">
        <v>971</v>
      </c>
      <c r="S65" s="1" t="s">
        <v>23</v>
      </c>
      <c r="T65" s="3">
        <f t="shared" si="5"/>
        <v>4.25</v>
      </c>
      <c r="U65" s="44">
        <f>IF(Table1[[#This Row],[Initials]]="RM",$AE$10,IF(Table1[[#This Row],[Initials]]="JPH",$AE$11,IF(Table1[[#This Row],[Initials]]="IE",$AE$13,IF(Table1[[#This Row],[Initials]]="JM",$AE$14,1))))</f>
        <v>1</v>
      </c>
      <c r="V65" s="3">
        <f>Table1[[#This Row],[FTE %]]*Table1[[#This Row],[Time Worked]]</f>
        <v>4.25</v>
      </c>
      <c r="W6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65" s="38">
        <f t="shared" si="6"/>
        <v>0</v>
      </c>
      <c r="Y65" s="18">
        <f t="shared" si="7"/>
        <v>263.20249999999999</v>
      </c>
    </row>
    <row r="66" spans="1:25" x14ac:dyDescent="0.25">
      <c r="A66" s="10">
        <f t="shared" ref="A66:A129" si="8">IF(IFERROR(A65+1,1)=1,1,A65+1)</f>
        <v>65</v>
      </c>
      <c r="B66" s="6" t="str">
        <f t="shared" ref="B66:B129" si="9">IF(I66="","",CONCATENATE(MONTH(I66),DAY(I66),YEAR(I66),F66,R66))</f>
        <v>8620192607JM</v>
      </c>
      <c r="C66" s="1">
        <v>10760</v>
      </c>
      <c r="D66" s="1" t="s">
        <v>1009</v>
      </c>
      <c r="E66" s="53" t="str">
        <f t="shared" ref="E66:E129" si="10">IF(ISNUMBER(FIND("GR",D66)),"External",IF(C66="NB","Unbilled",IF(AND(C66="Admin",F66=2642),"Annual",IF(AND(C66="Admin",F66=2643),"Comp",IF(AND(C66="Admin",F66=2640),"FMLA",IF(AND(C66="Admin",F66=2644),"Holiday",IF(AND(C66="Admin",F66=2646),"Sick",IF(AND(C66="Admin",F66=2645),"LWOP",IF(C66="Match","Match",IF(C66="WO","Write Off","Internal"))))))))))</f>
        <v>External</v>
      </c>
      <c r="F66" s="1">
        <v>2607</v>
      </c>
      <c r="G66" s="37" t="str">
        <f>VLOOKUP(Table1[[#This Row],[WO'#]],Table2[#All],2,FALSE)</f>
        <v>SM18 Washoe City</v>
      </c>
      <c r="H66" s="20">
        <v>43689</v>
      </c>
      <c r="I66" s="2">
        <v>43683</v>
      </c>
      <c r="J66" s="4">
        <f t="shared" ref="J66:J129" si="11">IF(I66="","",DAY(I66))</f>
        <v>6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0.25</v>
      </c>
      <c r="Q66" s="3">
        <f t="shared" ref="Q66:Q129" si="12">SUM(K66:P66)</f>
        <v>0.25</v>
      </c>
      <c r="R66" s="1" t="s">
        <v>972</v>
      </c>
      <c r="S66" s="1" t="s">
        <v>23</v>
      </c>
      <c r="T66" s="3">
        <f t="shared" ref="T66:T129" si="13">IF(R66="","",IF(OR(C66="WO",C66="Match",C66="NB",C66="Admin"),0,SUM(K66:P66)))</f>
        <v>0.25</v>
      </c>
      <c r="U66" s="44">
        <f>IF(Table1[[#This Row],[Initials]]="RM",$AE$10,IF(Table1[[#This Row],[Initials]]="JPH",$AE$11,IF(Table1[[#This Row],[Initials]]="IE",$AE$13,IF(Table1[[#This Row],[Initials]]="JM",$AE$14,1))))</f>
        <v>0.39500000000000002</v>
      </c>
      <c r="V66" s="3">
        <f>Table1[[#This Row],[FTE %]]*Table1[[#This Row],[Time Worked]]</f>
        <v>9.8750000000000004E-2</v>
      </c>
      <c r="W6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66" s="38">
        <f t="shared" ref="X66:X129" si="14">IF(R66="","",IF(OR(C66="Match",C66="Write Off",C66&lt;&gt;"NB",C66="Admin"),0,IF(OR(R66="BOGD",R66="BOGC",R66="BLGDB",R66="BLGCR"),IF(AND(I66&gt;=$AE$3,I66&lt;=$AF$3),P66*$AD$3,IF(AND(I66&gt;=$AE$4,I66&lt;=$AF$4),P66*$AD$4,IF(AND(I66&gt;=$AE$5,I66&lt;=$AF$5),P66*$AD$5,IF(AND(I66&gt;=$AE$6,I66&lt;=$AF$6),P66*$AD$6,P66*$AD$7)))),IF(AND(I66&gt;=$AE$3,I66&lt;=$AF$3),Q66*$AD$3,IF(AND(I66&gt;=$AE$4,I66&lt;=$AF$4),Q66*$AD$4,IF(AND(I66&gt;=$AE$5,I66&lt;=$AF$5),Q66*$AD$5,IF(AND(I66&gt;=$AE$6,I66&lt;=$AF$6),Q66*$AD$6,Q66*$AD$7)))))))</f>
        <v>0</v>
      </c>
      <c r="Y66" s="18">
        <f t="shared" ref="Y66:Y129" si="15">IF(R66="","",IF(OR(C66="Match",C66="WO",C66="NB",C66="Admin"),0,IF(OR(R66="BOGD",R66="BOGC",R66="BLGDB",R66="BLGCR"),IF(AND(I66&gt;=$AE$3,I66&lt;=$AF$3),P66*$AD$3,IF(AND(I66&gt;=$AE$4,I66&lt;=$AF$4),P66*$AD$4,IF(AND(I66&gt;=$AE$5,I66&lt;=$AF$5),P66*$AD$5,IF(AND(I66&gt;=$AE$6,I66&lt;=$AF$6),P66*$AD$6,P66*$AD$7)))),IF(AND(I66&gt;=$AE$3,I66&lt;=$AF$3),Q66*$AD$3,IF(AND(I66&gt;=$AE$4,I66&lt;=$AF$4),Q66*$AD$4,IF(AND(I66&gt;=$AE$5,I66&lt;=$AF$5),Q66*$AD$5,IF(AND(I66&gt;=$AE$6,I66&lt;=$AF$6),Q66*$AD$6,Q66*$AD$7)))))))</f>
        <v>15.4825</v>
      </c>
    </row>
    <row r="67" spans="1:25" x14ac:dyDescent="0.25">
      <c r="A67" s="10">
        <f t="shared" si="8"/>
        <v>66</v>
      </c>
      <c r="B67" s="6" t="str">
        <f t="shared" si="9"/>
        <v>71620192524IE</v>
      </c>
      <c r="C67" s="1">
        <v>11061</v>
      </c>
      <c r="D67" s="1" t="s">
        <v>1005</v>
      </c>
      <c r="E67" s="53" t="str">
        <f t="shared" si="10"/>
        <v>External</v>
      </c>
      <c r="F67" s="1">
        <v>2524</v>
      </c>
      <c r="G67" s="37" t="str">
        <f>VLOOKUP(Table1[[#This Row],[WO'#]],Table2[#All],2,FALSE)</f>
        <v>Las Vegas Valley</v>
      </c>
      <c r="H67" s="20">
        <v>43703</v>
      </c>
      <c r="I67" s="2">
        <v>43662</v>
      </c>
      <c r="J67" s="4">
        <f t="shared" si="11"/>
        <v>16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0.25</v>
      </c>
      <c r="Q67" s="3">
        <f t="shared" si="12"/>
        <v>0.25</v>
      </c>
      <c r="R67" s="1" t="s">
        <v>971</v>
      </c>
      <c r="S67" s="1" t="s">
        <v>23</v>
      </c>
      <c r="T67" s="3">
        <f t="shared" si="13"/>
        <v>0.25</v>
      </c>
      <c r="U67" s="44">
        <f>IF(Table1[[#This Row],[Initials]]="RM",$AE$10,IF(Table1[[#This Row],[Initials]]="JPH",$AE$11,IF(Table1[[#This Row],[Initials]]="IE",$AE$13,IF(Table1[[#This Row],[Initials]]="JM",$AE$14,1))))</f>
        <v>1</v>
      </c>
      <c r="V67" s="3">
        <f>Table1[[#This Row],[FTE %]]*Table1[[#This Row],[Time Worked]]</f>
        <v>0.25</v>
      </c>
      <c r="W6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67" s="38">
        <f t="shared" si="14"/>
        <v>0</v>
      </c>
      <c r="Y67" s="18">
        <f t="shared" si="15"/>
        <v>15.4825</v>
      </c>
    </row>
    <row r="68" spans="1:25" x14ac:dyDescent="0.25">
      <c r="A68" s="10">
        <f t="shared" si="8"/>
        <v>67</v>
      </c>
      <c r="B68" s="6" t="str">
        <f t="shared" si="9"/>
        <v>8520192524IE</v>
      </c>
      <c r="C68" s="1">
        <v>11061</v>
      </c>
      <c r="D68" s="1" t="s">
        <v>1005</v>
      </c>
      <c r="E68" s="53" t="str">
        <f t="shared" si="10"/>
        <v>External</v>
      </c>
      <c r="F68" s="1">
        <v>2524</v>
      </c>
      <c r="G68" s="37" t="str">
        <f>VLOOKUP(Table1[[#This Row],[WO'#]],Table2[#All],2,FALSE)</f>
        <v>Las Vegas Valley</v>
      </c>
      <c r="H68" s="20">
        <v>43703</v>
      </c>
      <c r="I68" s="2">
        <v>43682</v>
      </c>
      <c r="J68" s="4">
        <f t="shared" si="11"/>
        <v>5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8.5</v>
      </c>
      <c r="Q68" s="3">
        <f t="shared" si="12"/>
        <v>8.5</v>
      </c>
      <c r="R68" s="1" t="s">
        <v>971</v>
      </c>
      <c r="S68" s="1" t="s">
        <v>23</v>
      </c>
      <c r="T68" s="3">
        <f t="shared" si="13"/>
        <v>8.5</v>
      </c>
      <c r="U68" s="44">
        <f>IF(Table1[[#This Row],[Initials]]="RM",$AE$10,IF(Table1[[#This Row],[Initials]]="JPH",$AE$11,IF(Table1[[#This Row],[Initials]]="IE",$AE$13,IF(Table1[[#This Row],[Initials]]="JM",$AE$14,1))))</f>
        <v>1</v>
      </c>
      <c r="V68" s="3">
        <f>Table1[[#This Row],[FTE %]]*Table1[[#This Row],[Time Worked]]</f>
        <v>8.5</v>
      </c>
      <c r="W6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526.40499999999997</v>
      </c>
      <c r="X68" s="38">
        <f t="shared" si="14"/>
        <v>0</v>
      </c>
      <c r="Y68" s="18">
        <f t="shared" si="15"/>
        <v>526.40499999999997</v>
      </c>
    </row>
    <row r="69" spans="1:25" x14ac:dyDescent="0.25">
      <c r="A69" s="10">
        <f t="shared" si="8"/>
        <v>68</v>
      </c>
      <c r="B69" s="6" t="str">
        <f t="shared" si="9"/>
        <v>8620192524IE</v>
      </c>
      <c r="C69" s="1">
        <v>11061</v>
      </c>
      <c r="D69" s="1" t="s">
        <v>1005</v>
      </c>
      <c r="E69" s="53" t="str">
        <f t="shared" si="10"/>
        <v>External</v>
      </c>
      <c r="F69" s="1">
        <v>2524</v>
      </c>
      <c r="G69" s="37" t="str">
        <f>VLOOKUP(Table1[[#This Row],[WO'#]],Table2[#All],2,FALSE)</f>
        <v>Las Vegas Valley</v>
      </c>
      <c r="H69" s="20">
        <v>43703</v>
      </c>
      <c r="I69" s="2">
        <v>43683</v>
      </c>
      <c r="J69" s="4">
        <f t="shared" si="11"/>
        <v>6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5</v>
      </c>
      <c r="Q69" s="3">
        <f t="shared" si="12"/>
        <v>5</v>
      </c>
      <c r="R69" s="1" t="s">
        <v>971</v>
      </c>
      <c r="S69" s="1" t="s">
        <v>23</v>
      </c>
      <c r="T69" s="3">
        <f t="shared" si="13"/>
        <v>5</v>
      </c>
      <c r="U69" s="44">
        <f>IF(Table1[[#This Row],[Initials]]="RM",$AE$10,IF(Table1[[#This Row],[Initials]]="JPH",$AE$11,IF(Table1[[#This Row],[Initials]]="IE",$AE$13,IF(Table1[[#This Row],[Initials]]="JM",$AE$14,1))))</f>
        <v>1</v>
      </c>
      <c r="V69" s="3">
        <f>Table1[[#This Row],[FTE %]]*Table1[[#This Row],[Time Worked]]</f>
        <v>5</v>
      </c>
      <c r="W6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69" s="38">
        <f t="shared" si="14"/>
        <v>0</v>
      </c>
      <c r="Y69" s="18">
        <f t="shared" si="15"/>
        <v>309.64999999999998</v>
      </c>
    </row>
    <row r="70" spans="1:25" x14ac:dyDescent="0.25">
      <c r="A70" s="10">
        <f t="shared" si="8"/>
        <v>69</v>
      </c>
      <c r="B70" s="6" t="str">
        <f t="shared" si="9"/>
        <v>8720192590IE</v>
      </c>
      <c r="C70" s="1">
        <v>11062</v>
      </c>
      <c r="D70" s="1" t="s">
        <v>1025</v>
      </c>
      <c r="E70" s="53" t="str">
        <f t="shared" si="10"/>
        <v>External</v>
      </c>
      <c r="F70" s="1">
        <v>2590</v>
      </c>
      <c r="G70" s="37" t="str">
        <f>VLOOKUP(Table1[[#This Row],[WO'#]],Table2[#All],2,FALSE)</f>
        <v>Forge Geologic Map</v>
      </c>
      <c r="H70" s="20">
        <v>43703</v>
      </c>
      <c r="I70" s="2">
        <v>43684</v>
      </c>
      <c r="J70" s="4">
        <f t="shared" si="11"/>
        <v>7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0.5</v>
      </c>
      <c r="Q70" s="3">
        <f t="shared" si="12"/>
        <v>0.5</v>
      </c>
      <c r="R70" s="1" t="s">
        <v>971</v>
      </c>
      <c r="S70" s="1" t="s">
        <v>23</v>
      </c>
      <c r="T70" s="3">
        <f t="shared" si="13"/>
        <v>0.5</v>
      </c>
      <c r="U70" s="44">
        <f>IF(Table1[[#This Row],[Initials]]="RM",$AE$10,IF(Table1[[#This Row],[Initials]]="JPH",$AE$11,IF(Table1[[#This Row],[Initials]]="IE",$AE$13,IF(Table1[[#This Row],[Initials]]="JM",$AE$14,1))))</f>
        <v>1</v>
      </c>
      <c r="V70" s="3">
        <f>Table1[[#This Row],[FTE %]]*Table1[[#This Row],[Time Worked]]</f>
        <v>0.5</v>
      </c>
      <c r="W7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70" s="38">
        <f t="shared" si="14"/>
        <v>0</v>
      </c>
      <c r="Y70" s="18">
        <f t="shared" si="15"/>
        <v>30.965</v>
      </c>
    </row>
    <row r="71" spans="1:25" x14ac:dyDescent="0.25">
      <c r="A71" s="10">
        <f t="shared" si="8"/>
        <v>70</v>
      </c>
      <c r="B71" s="6" t="str">
        <f t="shared" si="9"/>
        <v>8820192590IE</v>
      </c>
      <c r="C71" s="1">
        <v>11062</v>
      </c>
      <c r="D71" s="1" t="s">
        <v>1025</v>
      </c>
      <c r="E71" s="53" t="str">
        <f t="shared" si="10"/>
        <v>External</v>
      </c>
      <c r="F71" s="1">
        <v>2590</v>
      </c>
      <c r="G71" s="37" t="str">
        <f>VLOOKUP(Table1[[#This Row],[WO'#]],Table2[#All],2,FALSE)</f>
        <v>Forge Geologic Map</v>
      </c>
      <c r="H71" s="20">
        <v>43703</v>
      </c>
      <c r="I71" s="2">
        <v>43685</v>
      </c>
      <c r="J71" s="4">
        <f t="shared" si="11"/>
        <v>8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2</v>
      </c>
      <c r="Q71" s="3">
        <f t="shared" si="12"/>
        <v>2</v>
      </c>
      <c r="R71" s="1" t="s">
        <v>971</v>
      </c>
      <c r="S71" s="1" t="s">
        <v>23</v>
      </c>
      <c r="T71" s="3">
        <f t="shared" si="13"/>
        <v>2</v>
      </c>
      <c r="U71" s="44">
        <f>IF(Table1[[#This Row],[Initials]]="RM",$AE$10,IF(Table1[[#This Row],[Initials]]="JPH",$AE$11,IF(Table1[[#This Row],[Initials]]="IE",$AE$13,IF(Table1[[#This Row],[Initials]]="JM",$AE$14,1))))</f>
        <v>1</v>
      </c>
      <c r="V71" s="3">
        <f>Table1[[#This Row],[FTE %]]*Table1[[#This Row],[Time Worked]]</f>
        <v>2</v>
      </c>
      <c r="W7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71" s="38">
        <f t="shared" si="14"/>
        <v>0</v>
      </c>
      <c r="Y71" s="18">
        <f t="shared" si="15"/>
        <v>123.86</v>
      </c>
    </row>
    <row r="72" spans="1:25" x14ac:dyDescent="0.25">
      <c r="A72" s="10">
        <f t="shared" si="8"/>
        <v>71</v>
      </c>
      <c r="B72" s="6" t="str">
        <f t="shared" si="9"/>
        <v>81220192590IE</v>
      </c>
      <c r="C72" s="1">
        <v>11062</v>
      </c>
      <c r="D72" s="1" t="s">
        <v>1025</v>
      </c>
      <c r="E72" s="53" t="str">
        <f t="shared" si="10"/>
        <v>External</v>
      </c>
      <c r="F72" s="1">
        <v>2590</v>
      </c>
      <c r="G72" s="37" t="str">
        <f>VLOOKUP(Table1[[#This Row],[WO'#]],Table2[#All],2,FALSE)</f>
        <v>Forge Geologic Map</v>
      </c>
      <c r="H72" s="20">
        <v>43703</v>
      </c>
      <c r="I72" s="2">
        <v>43689</v>
      </c>
      <c r="J72" s="4">
        <f t="shared" si="11"/>
        <v>12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0.5</v>
      </c>
      <c r="Q72" s="3">
        <f t="shared" si="12"/>
        <v>0.5</v>
      </c>
      <c r="R72" s="1" t="s">
        <v>971</v>
      </c>
      <c r="S72" s="1" t="s">
        <v>23</v>
      </c>
      <c r="T72" s="3">
        <f t="shared" si="13"/>
        <v>0.5</v>
      </c>
      <c r="U72" s="44">
        <f>IF(Table1[[#This Row],[Initials]]="RM",$AE$10,IF(Table1[[#This Row],[Initials]]="JPH",$AE$11,IF(Table1[[#This Row],[Initials]]="IE",$AE$13,IF(Table1[[#This Row],[Initials]]="JM",$AE$14,1))))</f>
        <v>1</v>
      </c>
      <c r="V72" s="3">
        <f>Table1[[#This Row],[FTE %]]*Table1[[#This Row],[Time Worked]]</f>
        <v>0.5</v>
      </c>
      <c r="W7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72" s="38">
        <f t="shared" si="14"/>
        <v>0</v>
      </c>
      <c r="Y72" s="18">
        <f t="shared" si="15"/>
        <v>30.965</v>
      </c>
    </row>
    <row r="73" spans="1:25" x14ac:dyDescent="0.25">
      <c r="A73" s="10">
        <f t="shared" si="8"/>
        <v>72</v>
      </c>
      <c r="B73" s="6" t="str">
        <f t="shared" si="9"/>
        <v>81320192590IE</v>
      </c>
      <c r="C73" s="1">
        <v>11062</v>
      </c>
      <c r="D73" s="1" t="s">
        <v>1025</v>
      </c>
      <c r="E73" s="53" t="str">
        <f t="shared" si="10"/>
        <v>External</v>
      </c>
      <c r="F73" s="1">
        <v>2590</v>
      </c>
      <c r="G73" s="37" t="str">
        <f>VLOOKUP(Table1[[#This Row],[WO'#]],Table2[#All],2,FALSE)</f>
        <v>Forge Geologic Map</v>
      </c>
      <c r="H73" s="20">
        <v>43703</v>
      </c>
      <c r="I73" s="2">
        <v>43690</v>
      </c>
      <c r="J73" s="4">
        <f t="shared" si="11"/>
        <v>13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3</v>
      </c>
      <c r="Q73" s="3">
        <f t="shared" si="12"/>
        <v>3</v>
      </c>
      <c r="R73" s="1" t="s">
        <v>971</v>
      </c>
      <c r="S73" s="1" t="s">
        <v>23</v>
      </c>
      <c r="T73" s="3">
        <f t="shared" si="13"/>
        <v>3</v>
      </c>
      <c r="U73" s="44">
        <f>IF(Table1[[#This Row],[Initials]]="RM",$AE$10,IF(Table1[[#This Row],[Initials]]="JPH",$AE$11,IF(Table1[[#This Row],[Initials]]="IE",$AE$13,IF(Table1[[#This Row],[Initials]]="JM",$AE$14,1))))</f>
        <v>1</v>
      </c>
      <c r="V73" s="3">
        <f>Table1[[#This Row],[FTE %]]*Table1[[#This Row],[Time Worked]]</f>
        <v>3</v>
      </c>
      <c r="W7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73" s="38">
        <f t="shared" si="14"/>
        <v>0</v>
      </c>
      <c r="Y73" s="18">
        <f t="shared" si="15"/>
        <v>185.79</v>
      </c>
    </row>
    <row r="74" spans="1:25" x14ac:dyDescent="0.25">
      <c r="A74" s="10">
        <f t="shared" si="8"/>
        <v>73</v>
      </c>
      <c r="B74" s="6" t="str">
        <f t="shared" si="9"/>
        <v>81420192590IE</v>
      </c>
      <c r="C74" s="1">
        <v>11062</v>
      </c>
      <c r="D74" s="1" t="s">
        <v>1025</v>
      </c>
      <c r="E74" s="53" t="str">
        <f t="shared" si="10"/>
        <v>External</v>
      </c>
      <c r="F74" s="1">
        <v>2590</v>
      </c>
      <c r="G74" s="37" t="str">
        <f>VLOOKUP(Table1[[#This Row],[WO'#]],Table2[#All],2,FALSE)</f>
        <v>Forge Geologic Map</v>
      </c>
      <c r="H74" s="20">
        <v>43703</v>
      </c>
      <c r="I74" s="2">
        <v>43691</v>
      </c>
      <c r="J74" s="4">
        <f t="shared" si="11"/>
        <v>14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7.5</v>
      </c>
      <c r="Q74" s="3">
        <f t="shared" si="12"/>
        <v>7.5</v>
      </c>
      <c r="R74" s="1" t="s">
        <v>971</v>
      </c>
      <c r="S74" s="1" t="s">
        <v>23</v>
      </c>
      <c r="T74" s="3">
        <f t="shared" si="13"/>
        <v>7.5</v>
      </c>
      <c r="U74" s="44">
        <f>IF(Table1[[#This Row],[Initials]]="RM",$AE$10,IF(Table1[[#This Row],[Initials]]="JPH",$AE$11,IF(Table1[[#This Row],[Initials]]="IE",$AE$13,IF(Table1[[#This Row],[Initials]]="JM",$AE$14,1))))</f>
        <v>1</v>
      </c>
      <c r="V74" s="3">
        <f>Table1[[#This Row],[FTE %]]*Table1[[#This Row],[Time Worked]]</f>
        <v>7.5</v>
      </c>
      <c r="W7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74" s="38">
        <f t="shared" si="14"/>
        <v>0</v>
      </c>
      <c r="Y74" s="18">
        <f t="shared" si="15"/>
        <v>464.47500000000002</v>
      </c>
    </row>
    <row r="75" spans="1:25" x14ac:dyDescent="0.25">
      <c r="A75" s="10">
        <f t="shared" si="8"/>
        <v>74</v>
      </c>
      <c r="B75" s="6" t="str">
        <f t="shared" si="9"/>
        <v>81520192590IE</v>
      </c>
      <c r="C75" s="1">
        <v>11062</v>
      </c>
      <c r="D75" s="1" t="s">
        <v>1025</v>
      </c>
      <c r="E75" s="53" t="str">
        <f t="shared" si="10"/>
        <v>External</v>
      </c>
      <c r="F75" s="1">
        <v>2590</v>
      </c>
      <c r="G75" s="37" t="str">
        <f>VLOOKUP(Table1[[#This Row],[WO'#]],Table2[#All],2,FALSE)</f>
        <v>Forge Geologic Map</v>
      </c>
      <c r="H75" s="20">
        <v>43703</v>
      </c>
      <c r="I75" s="2">
        <v>43692</v>
      </c>
      <c r="J75" s="4">
        <f t="shared" si="11"/>
        <v>15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7</v>
      </c>
      <c r="Q75" s="3">
        <f t="shared" si="12"/>
        <v>7</v>
      </c>
      <c r="R75" s="1" t="s">
        <v>971</v>
      </c>
      <c r="S75" s="1" t="s">
        <v>23</v>
      </c>
      <c r="T75" s="3">
        <f t="shared" si="13"/>
        <v>7</v>
      </c>
      <c r="U75" s="44">
        <f>IF(Table1[[#This Row],[Initials]]="RM",$AE$10,IF(Table1[[#This Row],[Initials]]="JPH",$AE$11,IF(Table1[[#This Row],[Initials]]="IE",$AE$13,IF(Table1[[#This Row],[Initials]]="JM",$AE$14,1))))</f>
        <v>1</v>
      </c>
      <c r="V75" s="3">
        <f>Table1[[#This Row],[FTE %]]*Table1[[#This Row],[Time Worked]]</f>
        <v>7</v>
      </c>
      <c r="W7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433.51</v>
      </c>
      <c r="X75" s="38">
        <f t="shared" si="14"/>
        <v>0</v>
      </c>
      <c r="Y75" s="18">
        <f t="shared" si="15"/>
        <v>433.51</v>
      </c>
    </row>
    <row r="76" spans="1:25" x14ac:dyDescent="0.25">
      <c r="A76" s="10">
        <f t="shared" si="8"/>
        <v>75</v>
      </c>
      <c r="B76" s="6" t="str">
        <f t="shared" si="9"/>
        <v>8520192617IE</v>
      </c>
      <c r="C76" s="1">
        <v>11063</v>
      </c>
      <c r="D76" s="1" t="s">
        <v>1011</v>
      </c>
      <c r="E76" s="53" t="str">
        <f t="shared" si="10"/>
        <v>External</v>
      </c>
      <c r="F76" s="1">
        <v>2617</v>
      </c>
      <c r="G76" s="37" t="str">
        <f>VLOOKUP(Table1[[#This Row],[WO'#]],Table2[#All],2,FALSE)</f>
        <v>Gabbs Valley</v>
      </c>
      <c r="H76" s="20">
        <v>43703</v>
      </c>
      <c r="I76" s="2">
        <v>43682</v>
      </c>
      <c r="J76" s="4">
        <f t="shared" si="11"/>
        <v>5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0.25</v>
      </c>
      <c r="Q76" s="3">
        <f t="shared" si="12"/>
        <v>0.25</v>
      </c>
      <c r="R76" s="1" t="s">
        <v>971</v>
      </c>
      <c r="S76" s="1" t="s">
        <v>23</v>
      </c>
      <c r="T76" s="3">
        <f t="shared" si="13"/>
        <v>0.25</v>
      </c>
      <c r="U76" s="44">
        <f>IF(Table1[[#This Row],[Initials]]="RM",$AE$10,IF(Table1[[#This Row],[Initials]]="JPH",$AE$11,IF(Table1[[#This Row],[Initials]]="IE",$AE$13,IF(Table1[[#This Row],[Initials]]="JM",$AE$14,1))))</f>
        <v>1</v>
      </c>
      <c r="V76" s="3">
        <f>Table1[[#This Row],[FTE %]]*Table1[[#This Row],[Time Worked]]</f>
        <v>0.25</v>
      </c>
      <c r="W7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76" s="38">
        <f t="shared" si="14"/>
        <v>0</v>
      </c>
      <c r="Y76" s="18">
        <f t="shared" si="15"/>
        <v>15.4825</v>
      </c>
    </row>
    <row r="77" spans="1:25" x14ac:dyDescent="0.25">
      <c r="A77" s="10">
        <f t="shared" si="8"/>
        <v>76</v>
      </c>
      <c r="B77" s="6" t="str">
        <f t="shared" si="9"/>
        <v>8620192617IE</v>
      </c>
      <c r="C77" s="1">
        <v>11063</v>
      </c>
      <c r="D77" s="1" t="s">
        <v>1011</v>
      </c>
      <c r="E77" s="53" t="str">
        <f t="shared" si="10"/>
        <v>External</v>
      </c>
      <c r="F77" s="1">
        <v>2617</v>
      </c>
      <c r="G77" s="37" t="str">
        <f>VLOOKUP(Table1[[#This Row],[WO'#]],Table2[#All],2,FALSE)</f>
        <v>Gabbs Valley</v>
      </c>
      <c r="H77" s="20">
        <v>43703</v>
      </c>
      <c r="I77" s="2">
        <v>43683</v>
      </c>
      <c r="J77" s="4">
        <f t="shared" si="11"/>
        <v>6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1</v>
      </c>
      <c r="Q77" s="3">
        <f t="shared" si="12"/>
        <v>1</v>
      </c>
      <c r="R77" s="1" t="s">
        <v>971</v>
      </c>
      <c r="S77" s="1" t="s">
        <v>23</v>
      </c>
      <c r="T77" s="3">
        <f t="shared" si="13"/>
        <v>1</v>
      </c>
      <c r="U77" s="44">
        <f>IF(Table1[[#This Row],[Initials]]="RM",$AE$10,IF(Table1[[#This Row],[Initials]]="JPH",$AE$11,IF(Table1[[#This Row],[Initials]]="IE",$AE$13,IF(Table1[[#This Row],[Initials]]="JM",$AE$14,1))))</f>
        <v>1</v>
      </c>
      <c r="V77" s="3">
        <f>Table1[[#This Row],[FTE %]]*Table1[[#This Row],[Time Worked]]</f>
        <v>1</v>
      </c>
      <c r="W7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77" s="38">
        <f t="shared" si="14"/>
        <v>0</v>
      </c>
      <c r="Y77" s="18">
        <f t="shared" si="15"/>
        <v>61.93</v>
      </c>
    </row>
    <row r="78" spans="1:25" x14ac:dyDescent="0.25">
      <c r="A78" s="10">
        <f t="shared" si="8"/>
        <v>77</v>
      </c>
      <c r="B78" s="6" t="str">
        <f t="shared" si="9"/>
        <v>8720192617IE</v>
      </c>
      <c r="C78" s="1">
        <v>11063</v>
      </c>
      <c r="D78" s="1" t="s">
        <v>1011</v>
      </c>
      <c r="E78" s="53" t="str">
        <f t="shared" si="10"/>
        <v>External</v>
      </c>
      <c r="F78" s="1">
        <v>2617</v>
      </c>
      <c r="G78" s="37" t="str">
        <f>VLOOKUP(Table1[[#This Row],[WO'#]],Table2[#All],2,FALSE)</f>
        <v>Gabbs Valley</v>
      </c>
      <c r="H78" s="20">
        <v>43703</v>
      </c>
      <c r="I78" s="2">
        <v>43684</v>
      </c>
      <c r="J78" s="4">
        <f t="shared" si="11"/>
        <v>7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0.25</v>
      </c>
      <c r="Q78" s="3">
        <f t="shared" si="12"/>
        <v>0.25</v>
      </c>
      <c r="R78" s="1" t="s">
        <v>971</v>
      </c>
      <c r="S78" s="1" t="s">
        <v>23</v>
      </c>
      <c r="T78" s="3">
        <f t="shared" si="13"/>
        <v>0.25</v>
      </c>
      <c r="U78" s="44">
        <f>IF(Table1[[#This Row],[Initials]]="RM",$AE$10,IF(Table1[[#This Row],[Initials]]="JPH",$AE$11,IF(Table1[[#This Row],[Initials]]="IE",$AE$13,IF(Table1[[#This Row],[Initials]]="JM",$AE$14,1))))</f>
        <v>1</v>
      </c>
      <c r="V78" s="3">
        <f>Table1[[#This Row],[FTE %]]*Table1[[#This Row],[Time Worked]]</f>
        <v>0.25</v>
      </c>
      <c r="W7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78" s="38">
        <f t="shared" si="14"/>
        <v>0</v>
      </c>
      <c r="Y78" s="18">
        <f t="shared" si="15"/>
        <v>15.4825</v>
      </c>
    </row>
    <row r="79" spans="1:25" x14ac:dyDescent="0.25">
      <c r="A79" s="10">
        <f t="shared" si="8"/>
        <v>78</v>
      </c>
      <c r="B79" s="6" t="str">
        <f t="shared" si="9"/>
        <v>8820192617IE</v>
      </c>
      <c r="C79" s="1">
        <v>11063</v>
      </c>
      <c r="D79" s="1" t="s">
        <v>1011</v>
      </c>
      <c r="E79" s="53" t="str">
        <f t="shared" si="10"/>
        <v>External</v>
      </c>
      <c r="F79" s="1">
        <v>2617</v>
      </c>
      <c r="G79" s="37" t="str">
        <f>VLOOKUP(Table1[[#This Row],[WO'#]],Table2[#All],2,FALSE)</f>
        <v>Gabbs Valley</v>
      </c>
      <c r="H79" s="20">
        <v>43703</v>
      </c>
      <c r="I79" s="2">
        <v>43685</v>
      </c>
      <c r="J79" s="4">
        <f t="shared" si="11"/>
        <v>8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2.5</v>
      </c>
      <c r="Q79" s="3">
        <f t="shared" si="12"/>
        <v>2.5</v>
      </c>
      <c r="R79" s="1" t="s">
        <v>971</v>
      </c>
      <c r="S79" s="1" t="s">
        <v>23</v>
      </c>
      <c r="T79" s="3">
        <f t="shared" si="13"/>
        <v>2.5</v>
      </c>
      <c r="U79" s="44">
        <f>IF(Table1[[#This Row],[Initials]]="RM",$AE$10,IF(Table1[[#This Row],[Initials]]="JPH",$AE$11,IF(Table1[[#This Row],[Initials]]="IE",$AE$13,IF(Table1[[#This Row],[Initials]]="JM",$AE$14,1))))</f>
        <v>1</v>
      </c>
      <c r="V79" s="3">
        <f>Table1[[#This Row],[FTE %]]*Table1[[#This Row],[Time Worked]]</f>
        <v>2.5</v>
      </c>
      <c r="W7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79" s="38">
        <f t="shared" si="14"/>
        <v>0</v>
      </c>
      <c r="Y79" s="18">
        <f t="shared" si="15"/>
        <v>154.82499999999999</v>
      </c>
    </row>
    <row r="80" spans="1:25" x14ac:dyDescent="0.25">
      <c r="A80" s="10">
        <f t="shared" si="8"/>
        <v>79</v>
      </c>
      <c r="B80" s="6" t="str">
        <f t="shared" si="9"/>
        <v>8920192617JM</v>
      </c>
      <c r="C80" s="1">
        <v>11063</v>
      </c>
      <c r="D80" s="1" t="s">
        <v>1011</v>
      </c>
      <c r="E80" s="53" t="str">
        <f t="shared" si="10"/>
        <v>External</v>
      </c>
      <c r="F80" s="1">
        <v>2617</v>
      </c>
      <c r="G80" s="37" t="str">
        <f>VLOOKUP(Table1[[#This Row],[WO'#]],Table2[#All],2,FALSE)</f>
        <v>Gabbs Valley</v>
      </c>
      <c r="H80" s="20">
        <v>43703</v>
      </c>
      <c r="I80" s="2">
        <v>43686</v>
      </c>
      <c r="J80" s="4">
        <f t="shared" si="11"/>
        <v>9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0.75</v>
      </c>
      <c r="Q80" s="3">
        <f t="shared" si="12"/>
        <v>0.75</v>
      </c>
      <c r="R80" s="1" t="s">
        <v>972</v>
      </c>
      <c r="S80" s="1" t="s">
        <v>23</v>
      </c>
      <c r="T80" s="3">
        <f t="shared" si="13"/>
        <v>0.75</v>
      </c>
      <c r="U80" s="44">
        <f>IF(Table1[[#This Row],[Initials]]="RM",$AE$10,IF(Table1[[#This Row],[Initials]]="JPH",$AE$11,IF(Table1[[#This Row],[Initials]]="IE",$AE$13,IF(Table1[[#This Row],[Initials]]="JM",$AE$14,1))))</f>
        <v>0.39500000000000002</v>
      </c>
      <c r="V80" s="3">
        <f>Table1[[#This Row],[FTE %]]*Table1[[#This Row],[Time Worked]]</f>
        <v>0.29625000000000001</v>
      </c>
      <c r="W8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80" s="38">
        <f t="shared" si="14"/>
        <v>0</v>
      </c>
      <c r="Y80" s="18">
        <f t="shared" si="15"/>
        <v>46.447499999999998</v>
      </c>
    </row>
    <row r="81" spans="1:25" x14ac:dyDescent="0.25">
      <c r="A81" s="10">
        <f t="shared" si="8"/>
        <v>80</v>
      </c>
      <c r="B81" s="6" t="str">
        <f t="shared" si="9"/>
        <v>81220192617IE</v>
      </c>
      <c r="C81" s="1">
        <v>11063</v>
      </c>
      <c r="D81" s="1" t="s">
        <v>1011</v>
      </c>
      <c r="E81" s="53" t="str">
        <f t="shared" si="10"/>
        <v>External</v>
      </c>
      <c r="F81" s="1">
        <v>2617</v>
      </c>
      <c r="G81" s="37" t="str">
        <f>VLOOKUP(Table1[[#This Row],[WO'#]],Table2[#All],2,FALSE)</f>
        <v>Gabbs Valley</v>
      </c>
      <c r="H81" s="20">
        <v>43703</v>
      </c>
      <c r="I81" s="2">
        <v>43689</v>
      </c>
      <c r="J81" s="4">
        <f t="shared" si="11"/>
        <v>12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0.5</v>
      </c>
      <c r="Q81" s="3">
        <f t="shared" si="12"/>
        <v>0.5</v>
      </c>
      <c r="R81" s="1" t="s">
        <v>971</v>
      </c>
      <c r="S81" s="1" t="s">
        <v>23</v>
      </c>
      <c r="T81" s="3">
        <f t="shared" si="13"/>
        <v>0.5</v>
      </c>
      <c r="U81" s="44">
        <f>IF(Table1[[#This Row],[Initials]]="RM",$AE$10,IF(Table1[[#This Row],[Initials]]="JPH",$AE$11,IF(Table1[[#This Row],[Initials]]="IE",$AE$13,IF(Table1[[#This Row],[Initials]]="JM",$AE$14,1))))</f>
        <v>1</v>
      </c>
      <c r="V81" s="3">
        <f>Table1[[#This Row],[FTE %]]*Table1[[#This Row],[Time Worked]]</f>
        <v>0.5</v>
      </c>
      <c r="W8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81" s="38">
        <f t="shared" si="14"/>
        <v>0</v>
      </c>
      <c r="Y81" s="18">
        <f t="shared" si="15"/>
        <v>30.965</v>
      </c>
    </row>
    <row r="82" spans="1:25" x14ac:dyDescent="0.25">
      <c r="A82" s="10">
        <f t="shared" si="8"/>
        <v>81</v>
      </c>
      <c r="B82" s="6" t="str">
        <f t="shared" si="9"/>
        <v>81320192617IE</v>
      </c>
      <c r="C82" s="1">
        <v>11063</v>
      </c>
      <c r="D82" s="1" t="s">
        <v>1011</v>
      </c>
      <c r="E82" s="53" t="str">
        <f t="shared" si="10"/>
        <v>External</v>
      </c>
      <c r="F82" s="1">
        <v>2617</v>
      </c>
      <c r="G82" s="37" t="str">
        <f>VLOOKUP(Table1[[#This Row],[WO'#]],Table2[#All],2,FALSE)</f>
        <v>Gabbs Valley</v>
      </c>
      <c r="H82" s="20">
        <v>43703</v>
      </c>
      <c r="I82" s="2">
        <v>43690</v>
      </c>
      <c r="J82" s="4">
        <f t="shared" si="11"/>
        <v>13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3.5</v>
      </c>
      <c r="Q82" s="3">
        <f t="shared" si="12"/>
        <v>3.5</v>
      </c>
      <c r="R82" s="1" t="s">
        <v>971</v>
      </c>
      <c r="S82" s="1" t="s">
        <v>23</v>
      </c>
      <c r="T82" s="3">
        <f t="shared" si="13"/>
        <v>3.5</v>
      </c>
      <c r="U82" s="44">
        <f>IF(Table1[[#This Row],[Initials]]="RM",$AE$10,IF(Table1[[#This Row],[Initials]]="JPH",$AE$11,IF(Table1[[#This Row],[Initials]]="IE",$AE$13,IF(Table1[[#This Row],[Initials]]="JM",$AE$14,1))))</f>
        <v>1</v>
      </c>
      <c r="V82" s="3">
        <f>Table1[[#This Row],[FTE %]]*Table1[[#This Row],[Time Worked]]</f>
        <v>3.5</v>
      </c>
      <c r="W8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82" s="38">
        <f t="shared" si="14"/>
        <v>0</v>
      </c>
      <c r="Y82" s="18">
        <f t="shared" si="15"/>
        <v>216.755</v>
      </c>
    </row>
    <row r="83" spans="1:25" x14ac:dyDescent="0.25">
      <c r="A83" s="10">
        <f t="shared" si="8"/>
        <v>82</v>
      </c>
      <c r="B83" s="6" t="str">
        <f t="shared" si="9"/>
        <v>81420192617IE</v>
      </c>
      <c r="C83" s="1">
        <v>11063</v>
      </c>
      <c r="D83" s="1" t="s">
        <v>1011</v>
      </c>
      <c r="E83" s="53" t="str">
        <f t="shared" si="10"/>
        <v>External</v>
      </c>
      <c r="F83" s="1">
        <v>2617</v>
      </c>
      <c r="G83" s="37" t="str">
        <f>VLOOKUP(Table1[[#This Row],[WO'#]],Table2[#All],2,FALSE)</f>
        <v>Gabbs Valley</v>
      </c>
      <c r="H83" s="20">
        <v>43703</v>
      </c>
      <c r="I83" s="2">
        <v>43691</v>
      </c>
      <c r="J83" s="4">
        <f t="shared" si="11"/>
        <v>14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2</v>
      </c>
      <c r="Q83" s="3">
        <f t="shared" si="12"/>
        <v>2</v>
      </c>
      <c r="R83" s="1" t="s">
        <v>971</v>
      </c>
      <c r="S83" s="1" t="s">
        <v>23</v>
      </c>
      <c r="T83" s="3">
        <f t="shared" si="13"/>
        <v>2</v>
      </c>
      <c r="U83" s="44">
        <f>IF(Table1[[#This Row],[Initials]]="RM",$AE$10,IF(Table1[[#This Row],[Initials]]="JPH",$AE$11,IF(Table1[[#This Row],[Initials]]="IE",$AE$13,IF(Table1[[#This Row],[Initials]]="JM",$AE$14,1))))</f>
        <v>1</v>
      </c>
      <c r="V83" s="3">
        <f>Table1[[#This Row],[FTE %]]*Table1[[#This Row],[Time Worked]]</f>
        <v>2</v>
      </c>
      <c r="W8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83" s="38">
        <f t="shared" si="14"/>
        <v>0</v>
      </c>
      <c r="Y83" s="18">
        <f t="shared" si="15"/>
        <v>123.86</v>
      </c>
    </row>
    <row r="84" spans="1:25" x14ac:dyDescent="0.25">
      <c r="A84" s="10">
        <f t="shared" si="8"/>
        <v>83</v>
      </c>
      <c r="B84" s="6" t="str">
        <f t="shared" si="9"/>
        <v>81420192617JM</v>
      </c>
      <c r="C84" s="1">
        <v>11063</v>
      </c>
      <c r="D84" s="1" t="s">
        <v>1011</v>
      </c>
      <c r="E84" s="53" t="str">
        <f t="shared" si="10"/>
        <v>External</v>
      </c>
      <c r="F84" s="1">
        <v>2617</v>
      </c>
      <c r="G84" s="37" t="str">
        <f>VLOOKUP(Table1[[#This Row],[WO'#]],Table2[#All],2,FALSE)</f>
        <v>Gabbs Valley</v>
      </c>
      <c r="H84" s="20">
        <v>43703</v>
      </c>
      <c r="I84" s="2">
        <v>43691</v>
      </c>
      <c r="J84" s="4">
        <f t="shared" si="11"/>
        <v>14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0.25</v>
      </c>
      <c r="Q84" s="3">
        <f t="shared" si="12"/>
        <v>0.25</v>
      </c>
      <c r="R84" s="1" t="s">
        <v>972</v>
      </c>
      <c r="S84" s="1" t="s">
        <v>23</v>
      </c>
      <c r="T84" s="3">
        <f t="shared" si="13"/>
        <v>0.25</v>
      </c>
      <c r="U84" s="44">
        <f>IF(Table1[[#This Row],[Initials]]="RM",$AE$10,IF(Table1[[#This Row],[Initials]]="JPH",$AE$11,IF(Table1[[#This Row],[Initials]]="IE",$AE$13,IF(Table1[[#This Row],[Initials]]="JM",$AE$14,1))))</f>
        <v>0.39500000000000002</v>
      </c>
      <c r="V84" s="3">
        <f>Table1[[#This Row],[FTE %]]*Table1[[#This Row],[Time Worked]]</f>
        <v>9.8750000000000004E-2</v>
      </c>
      <c r="W8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84" s="38">
        <f t="shared" si="14"/>
        <v>0</v>
      </c>
      <c r="Y84" s="18">
        <f t="shared" si="15"/>
        <v>15.4825</v>
      </c>
    </row>
    <row r="85" spans="1:25" x14ac:dyDescent="0.25">
      <c r="A85" s="10">
        <f t="shared" si="8"/>
        <v>84</v>
      </c>
      <c r="B85" s="6" t="str">
        <f t="shared" si="9"/>
        <v>81220192595IE</v>
      </c>
      <c r="C85" s="1">
        <v>11066</v>
      </c>
      <c r="D85" s="1" t="s">
        <v>1008</v>
      </c>
      <c r="E85" s="53" t="str">
        <f t="shared" si="10"/>
        <v>External</v>
      </c>
      <c r="F85" s="1">
        <v>2595</v>
      </c>
      <c r="G85" s="37" t="str">
        <f>VLOOKUP(Table1[[#This Row],[WO'#]],Table2[#All],2,FALSE)</f>
        <v>SM18 Granite Peak</v>
      </c>
      <c r="H85" s="20">
        <v>43703</v>
      </c>
      <c r="I85" s="2">
        <v>43689</v>
      </c>
      <c r="J85" s="4">
        <f t="shared" si="11"/>
        <v>12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4</v>
      </c>
      <c r="Q85" s="3">
        <f t="shared" si="12"/>
        <v>4</v>
      </c>
      <c r="R85" s="1" t="s">
        <v>971</v>
      </c>
      <c r="S85" s="1" t="s">
        <v>23</v>
      </c>
      <c r="T85" s="3">
        <f t="shared" si="13"/>
        <v>4</v>
      </c>
      <c r="U85" s="44">
        <f>IF(Table1[[#This Row],[Initials]]="RM",$AE$10,IF(Table1[[#This Row],[Initials]]="JPH",$AE$11,IF(Table1[[#This Row],[Initials]]="IE",$AE$13,IF(Table1[[#This Row],[Initials]]="JM",$AE$14,1))))</f>
        <v>1</v>
      </c>
      <c r="V85" s="3">
        <f>Table1[[#This Row],[FTE %]]*Table1[[#This Row],[Time Worked]]</f>
        <v>4</v>
      </c>
      <c r="W8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85" s="38">
        <f t="shared" si="14"/>
        <v>0</v>
      </c>
      <c r="Y85" s="18">
        <f t="shared" si="15"/>
        <v>247.72</v>
      </c>
    </row>
    <row r="86" spans="1:25" x14ac:dyDescent="0.25">
      <c r="A86" s="10">
        <f t="shared" si="8"/>
        <v>85</v>
      </c>
      <c r="B86" s="6" t="str">
        <f t="shared" si="9"/>
        <v>81320192595IE</v>
      </c>
      <c r="C86" s="1">
        <v>11066</v>
      </c>
      <c r="D86" s="1" t="s">
        <v>1008</v>
      </c>
      <c r="E86" s="53" t="str">
        <f t="shared" si="10"/>
        <v>External</v>
      </c>
      <c r="F86" s="1">
        <v>2595</v>
      </c>
      <c r="G86" s="37" t="str">
        <f>VLOOKUP(Table1[[#This Row],[WO'#]],Table2[#All],2,FALSE)</f>
        <v>SM18 Granite Peak</v>
      </c>
      <c r="H86" s="20">
        <v>43703</v>
      </c>
      <c r="I86" s="2">
        <v>43690</v>
      </c>
      <c r="J86" s="4">
        <f t="shared" si="11"/>
        <v>13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3</v>
      </c>
      <c r="Q86" s="3">
        <f t="shared" si="12"/>
        <v>3</v>
      </c>
      <c r="R86" s="1" t="s">
        <v>971</v>
      </c>
      <c r="S86" s="1" t="s">
        <v>23</v>
      </c>
      <c r="T86" s="3">
        <f t="shared" si="13"/>
        <v>3</v>
      </c>
      <c r="U86" s="44">
        <f>IF(Table1[[#This Row],[Initials]]="RM",$AE$10,IF(Table1[[#This Row],[Initials]]="JPH",$AE$11,IF(Table1[[#This Row],[Initials]]="IE",$AE$13,IF(Table1[[#This Row],[Initials]]="JM",$AE$14,1))))</f>
        <v>1</v>
      </c>
      <c r="V86" s="3">
        <f>Table1[[#This Row],[FTE %]]*Table1[[#This Row],[Time Worked]]</f>
        <v>3</v>
      </c>
      <c r="W8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86" s="38">
        <f t="shared" si="14"/>
        <v>0</v>
      </c>
      <c r="Y86" s="18">
        <f t="shared" si="15"/>
        <v>185.79</v>
      </c>
    </row>
    <row r="87" spans="1:25" x14ac:dyDescent="0.25">
      <c r="A87" s="10">
        <f t="shared" si="8"/>
        <v>86</v>
      </c>
      <c r="B87" s="6" t="str">
        <f t="shared" si="9"/>
        <v>82020192595IE</v>
      </c>
      <c r="C87" s="1">
        <v>11066</v>
      </c>
      <c r="D87" s="1" t="s">
        <v>1008</v>
      </c>
      <c r="E87" s="53" t="str">
        <f t="shared" si="10"/>
        <v>External</v>
      </c>
      <c r="F87" s="1">
        <v>2595</v>
      </c>
      <c r="G87" s="37" t="str">
        <f>VLOOKUP(Table1[[#This Row],[WO'#]],Table2[#All],2,FALSE)</f>
        <v>SM18 Granite Peak</v>
      </c>
      <c r="H87" s="20">
        <v>43703</v>
      </c>
      <c r="I87" s="2">
        <v>43697</v>
      </c>
      <c r="J87" s="4">
        <f t="shared" si="11"/>
        <v>20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5</v>
      </c>
      <c r="Q87" s="3">
        <f t="shared" si="12"/>
        <v>5</v>
      </c>
      <c r="R87" s="1" t="s">
        <v>971</v>
      </c>
      <c r="S87" s="1" t="s">
        <v>23</v>
      </c>
      <c r="T87" s="3">
        <f t="shared" si="13"/>
        <v>5</v>
      </c>
      <c r="U87" s="44">
        <f>IF(Table1[[#This Row],[Initials]]="RM",$AE$10,IF(Table1[[#This Row],[Initials]]="JPH",$AE$11,IF(Table1[[#This Row],[Initials]]="IE",$AE$13,IF(Table1[[#This Row],[Initials]]="JM",$AE$14,1))))</f>
        <v>1</v>
      </c>
      <c r="V87" s="3">
        <f>Table1[[#This Row],[FTE %]]*Table1[[#This Row],[Time Worked]]</f>
        <v>5</v>
      </c>
      <c r="W8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87" s="38">
        <f t="shared" si="14"/>
        <v>0</v>
      </c>
      <c r="Y87" s="18">
        <f t="shared" si="15"/>
        <v>309.64999999999998</v>
      </c>
    </row>
    <row r="88" spans="1:25" x14ac:dyDescent="0.25">
      <c r="A88" s="10">
        <f t="shared" si="8"/>
        <v>87</v>
      </c>
      <c r="B88" s="6" t="str">
        <f t="shared" si="9"/>
        <v>82120192595IE</v>
      </c>
      <c r="C88" s="1">
        <v>11066</v>
      </c>
      <c r="D88" s="1" t="s">
        <v>1008</v>
      </c>
      <c r="E88" s="53" t="str">
        <f t="shared" si="10"/>
        <v>External</v>
      </c>
      <c r="F88" s="1">
        <v>2595</v>
      </c>
      <c r="G88" s="37" t="str">
        <f>VLOOKUP(Table1[[#This Row],[WO'#]],Table2[#All],2,FALSE)</f>
        <v>SM18 Granite Peak</v>
      </c>
      <c r="H88" s="20">
        <v>43703</v>
      </c>
      <c r="I88" s="2">
        <v>43698</v>
      </c>
      <c r="J88" s="4">
        <f t="shared" si="11"/>
        <v>21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5</v>
      </c>
      <c r="Q88" s="3">
        <f t="shared" si="12"/>
        <v>5</v>
      </c>
      <c r="R88" s="1" t="s">
        <v>971</v>
      </c>
      <c r="S88" s="1" t="s">
        <v>23</v>
      </c>
      <c r="T88" s="3">
        <f t="shared" si="13"/>
        <v>5</v>
      </c>
      <c r="U88" s="44">
        <f>IF(Table1[[#This Row],[Initials]]="RM",$AE$10,IF(Table1[[#This Row],[Initials]]="JPH",$AE$11,IF(Table1[[#This Row],[Initials]]="IE",$AE$13,IF(Table1[[#This Row],[Initials]]="JM",$AE$14,1))))</f>
        <v>1</v>
      </c>
      <c r="V88" s="3">
        <f>Table1[[#This Row],[FTE %]]*Table1[[#This Row],[Time Worked]]</f>
        <v>5</v>
      </c>
      <c r="W8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88" s="38">
        <f t="shared" si="14"/>
        <v>0</v>
      </c>
      <c r="Y88" s="18">
        <f t="shared" si="15"/>
        <v>309.64999999999998</v>
      </c>
    </row>
    <row r="89" spans="1:25" x14ac:dyDescent="0.25">
      <c r="A89" s="10">
        <f t="shared" si="8"/>
        <v>88</v>
      </c>
      <c r="B89" s="6" t="str">
        <f t="shared" si="9"/>
        <v>82220192595IE</v>
      </c>
      <c r="C89" s="1">
        <v>11066</v>
      </c>
      <c r="D89" s="1" t="s">
        <v>1008</v>
      </c>
      <c r="E89" s="53" t="str">
        <f t="shared" si="10"/>
        <v>External</v>
      </c>
      <c r="F89" s="1">
        <v>2595</v>
      </c>
      <c r="G89" s="37" t="str">
        <f>VLOOKUP(Table1[[#This Row],[WO'#]],Table2[#All],2,FALSE)</f>
        <v>SM18 Granite Peak</v>
      </c>
      <c r="H89" s="20">
        <v>43703</v>
      </c>
      <c r="I89" s="2">
        <v>43699</v>
      </c>
      <c r="J89" s="4">
        <f t="shared" si="11"/>
        <v>22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4</v>
      </c>
      <c r="Q89" s="3">
        <f t="shared" si="12"/>
        <v>4</v>
      </c>
      <c r="R89" s="1" t="s">
        <v>971</v>
      </c>
      <c r="S89" s="1" t="s">
        <v>23</v>
      </c>
      <c r="T89" s="3">
        <f t="shared" si="13"/>
        <v>4</v>
      </c>
      <c r="U89" s="44">
        <f>IF(Table1[[#This Row],[Initials]]="RM",$AE$10,IF(Table1[[#This Row],[Initials]]="JPH",$AE$11,IF(Table1[[#This Row],[Initials]]="IE",$AE$13,IF(Table1[[#This Row],[Initials]]="JM",$AE$14,1))))</f>
        <v>1</v>
      </c>
      <c r="V89" s="3">
        <f>Table1[[#This Row],[FTE %]]*Table1[[#This Row],[Time Worked]]</f>
        <v>4</v>
      </c>
      <c r="W8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89" s="38">
        <f t="shared" si="14"/>
        <v>0</v>
      </c>
      <c r="Y89" s="18">
        <f t="shared" si="15"/>
        <v>247.72</v>
      </c>
    </row>
    <row r="90" spans="1:25" x14ac:dyDescent="0.25">
      <c r="A90" s="10">
        <f t="shared" si="8"/>
        <v>89</v>
      </c>
      <c r="B90" s="6" t="str">
        <f t="shared" si="9"/>
        <v>82320192595IE</v>
      </c>
      <c r="C90" s="1">
        <v>11066</v>
      </c>
      <c r="D90" s="1" t="s">
        <v>1008</v>
      </c>
      <c r="E90" s="53" t="str">
        <f t="shared" si="10"/>
        <v>External</v>
      </c>
      <c r="F90" s="1">
        <v>2595</v>
      </c>
      <c r="G90" s="37" t="str">
        <f>VLOOKUP(Table1[[#This Row],[WO'#]],Table2[#All],2,FALSE)</f>
        <v>SM18 Granite Peak</v>
      </c>
      <c r="H90" s="20">
        <v>43703</v>
      </c>
      <c r="I90" s="2">
        <v>43700</v>
      </c>
      <c r="J90" s="4">
        <f t="shared" si="11"/>
        <v>23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5.5</v>
      </c>
      <c r="Q90" s="3">
        <f t="shared" si="12"/>
        <v>5.5</v>
      </c>
      <c r="R90" s="1" t="s">
        <v>971</v>
      </c>
      <c r="S90" s="1" t="s">
        <v>23</v>
      </c>
      <c r="T90" s="3">
        <f t="shared" si="13"/>
        <v>5.5</v>
      </c>
      <c r="U90" s="44">
        <f>IF(Table1[[#This Row],[Initials]]="RM",$AE$10,IF(Table1[[#This Row],[Initials]]="JPH",$AE$11,IF(Table1[[#This Row],[Initials]]="IE",$AE$13,IF(Table1[[#This Row],[Initials]]="JM",$AE$14,1))))</f>
        <v>1</v>
      </c>
      <c r="V90" s="3">
        <f>Table1[[#This Row],[FTE %]]*Table1[[#This Row],[Time Worked]]</f>
        <v>5.5</v>
      </c>
      <c r="W9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340.61500000000001</v>
      </c>
      <c r="X90" s="38">
        <f t="shared" si="14"/>
        <v>0</v>
      </c>
      <c r="Y90" s="18">
        <f t="shared" si="15"/>
        <v>340.61500000000001</v>
      </c>
    </row>
    <row r="91" spans="1:25" x14ac:dyDescent="0.25">
      <c r="A91" s="10">
        <f t="shared" si="8"/>
        <v>90</v>
      </c>
      <c r="B91" s="6" t="str">
        <f t="shared" si="9"/>
        <v>81520192601IE</v>
      </c>
      <c r="C91" s="1">
        <v>11066</v>
      </c>
      <c r="D91" s="1" t="s">
        <v>1010</v>
      </c>
      <c r="E91" s="53" t="str">
        <f t="shared" si="10"/>
        <v>External</v>
      </c>
      <c r="F91" s="1">
        <v>2601</v>
      </c>
      <c r="G91" s="37" t="str">
        <f>VLOOKUP(Table1[[#This Row],[WO'#]],Table2[#All],2,FALSE)</f>
        <v>SM18 Gordon Creek GIS Migration</v>
      </c>
      <c r="H91" s="20">
        <v>43703</v>
      </c>
      <c r="I91" s="2">
        <v>43692</v>
      </c>
      <c r="J91" s="4">
        <f t="shared" si="11"/>
        <v>15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1.5</v>
      </c>
      <c r="Q91" s="3">
        <f t="shared" si="12"/>
        <v>1.5</v>
      </c>
      <c r="R91" s="1" t="s">
        <v>971</v>
      </c>
      <c r="S91" s="1" t="s">
        <v>23</v>
      </c>
      <c r="T91" s="3">
        <f t="shared" si="13"/>
        <v>1.5</v>
      </c>
      <c r="U91" s="44">
        <f>IF(Table1[[#This Row],[Initials]]="RM",$AE$10,IF(Table1[[#This Row],[Initials]]="JPH",$AE$11,IF(Table1[[#This Row],[Initials]]="IE",$AE$13,IF(Table1[[#This Row],[Initials]]="JM",$AE$14,1))))</f>
        <v>1</v>
      </c>
      <c r="V91" s="3">
        <f>Table1[[#This Row],[FTE %]]*Table1[[#This Row],[Time Worked]]</f>
        <v>1.5</v>
      </c>
      <c r="W9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91" s="38">
        <f t="shared" si="14"/>
        <v>0</v>
      </c>
      <c r="Y91" s="18">
        <f t="shared" si="15"/>
        <v>92.894999999999996</v>
      </c>
    </row>
    <row r="92" spans="1:25" x14ac:dyDescent="0.25">
      <c r="A92" s="10">
        <f t="shared" si="8"/>
        <v>91</v>
      </c>
      <c r="B92" s="6" t="str">
        <f t="shared" si="9"/>
        <v>82120192601IE</v>
      </c>
      <c r="C92" s="1">
        <v>11066</v>
      </c>
      <c r="D92" s="1" t="s">
        <v>1010</v>
      </c>
      <c r="E92" s="53" t="str">
        <f t="shared" si="10"/>
        <v>External</v>
      </c>
      <c r="F92" s="1">
        <v>2601</v>
      </c>
      <c r="G92" s="37" t="str">
        <f>VLOOKUP(Table1[[#This Row],[WO'#]],Table2[#All],2,FALSE)</f>
        <v>SM18 Gordon Creek GIS Migration</v>
      </c>
      <c r="H92" s="20">
        <v>43703</v>
      </c>
      <c r="I92" s="2">
        <v>43698</v>
      </c>
      <c r="J92" s="4">
        <f t="shared" si="11"/>
        <v>21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3</v>
      </c>
      <c r="Q92" s="3">
        <f t="shared" si="12"/>
        <v>3</v>
      </c>
      <c r="R92" s="1" t="s">
        <v>971</v>
      </c>
      <c r="S92" s="1" t="s">
        <v>23</v>
      </c>
      <c r="T92" s="3">
        <f t="shared" si="13"/>
        <v>3</v>
      </c>
      <c r="U92" s="44">
        <f>IF(Table1[[#This Row],[Initials]]="RM",$AE$10,IF(Table1[[#This Row],[Initials]]="JPH",$AE$11,IF(Table1[[#This Row],[Initials]]="IE",$AE$13,IF(Table1[[#This Row],[Initials]]="JM",$AE$14,1))))</f>
        <v>1</v>
      </c>
      <c r="V92" s="3">
        <f>Table1[[#This Row],[FTE %]]*Table1[[#This Row],[Time Worked]]</f>
        <v>3</v>
      </c>
      <c r="W9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92" s="38">
        <f t="shared" si="14"/>
        <v>0</v>
      </c>
      <c r="Y92" s="18">
        <f t="shared" si="15"/>
        <v>185.79</v>
      </c>
    </row>
    <row r="93" spans="1:25" x14ac:dyDescent="0.25">
      <c r="A93" s="10">
        <f t="shared" si="8"/>
        <v>92</v>
      </c>
      <c r="B93" s="6" t="str">
        <f t="shared" si="9"/>
        <v>82020192606IE</v>
      </c>
      <c r="C93" s="1">
        <v>11066</v>
      </c>
      <c r="D93" s="1" t="s">
        <v>1007</v>
      </c>
      <c r="E93" s="53" t="str">
        <f t="shared" si="10"/>
        <v>External</v>
      </c>
      <c r="F93" s="1">
        <v>2606</v>
      </c>
      <c r="G93" s="37" t="str">
        <f>VLOOKUP(Table1[[#This Row],[WO'#]],Table2[#All],2,FALSE)</f>
        <v>SM18 Independence Valley</v>
      </c>
      <c r="H93" s="20">
        <v>43703</v>
      </c>
      <c r="I93" s="2">
        <v>43697</v>
      </c>
      <c r="J93" s="4">
        <f t="shared" si="11"/>
        <v>20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2</v>
      </c>
      <c r="Q93" s="3">
        <f t="shared" si="12"/>
        <v>2</v>
      </c>
      <c r="R93" s="1" t="s">
        <v>971</v>
      </c>
      <c r="S93" s="1" t="s">
        <v>23</v>
      </c>
      <c r="T93" s="3">
        <f t="shared" si="13"/>
        <v>2</v>
      </c>
      <c r="U93" s="44">
        <f>IF(Table1[[#This Row],[Initials]]="RM",$AE$10,IF(Table1[[#This Row],[Initials]]="JPH",$AE$11,IF(Table1[[#This Row],[Initials]]="IE",$AE$13,IF(Table1[[#This Row],[Initials]]="JM",$AE$14,1))))</f>
        <v>1</v>
      </c>
      <c r="V93" s="3">
        <f>Table1[[#This Row],[FTE %]]*Table1[[#This Row],[Time Worked]]</f>
        <v>2</v>
      </c>
      <c r="W9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93" s="38">
        <f t="shared" si="14"/>
        <v>0</v>
      </c>
      <c r="Y93" s="18">
        <f t="shared" si="15"/>
        <v>123.86</v>
      </c>
    </row>
    <row r="94" spans="1:25" x14ac:dyDescent="0.25">
      <c r="A94" s="10">
        <f t="shared" si="8"/>
        <v>93</v>
      </c>
      <c r="B94" s="6" t="str">
        <f t="shared" si="9"/>
        <v>82120192606IE</v>
      </c>
      <c r="C94" s="1">
        <v>11066</v>
      </c>
      <c r="D94" s="1" t="s">
        <v>1007</v>
      </c>
      <c r="E94" s="53" t="str">
        <f t="shared" si="10"/>
        <v>External</v>
      </c>
      <c r="F94" s="1">
        <v>2606</v>
      </c>
      <c r="G94" s="37" t="str">
        <f>VLOOKUP(Table1[[#This Row],[WO'#]],Table2[#All],2,FALSE)</f>
        <v>SM18 Independence Valley</v>
      </c>
      <c r="H94" s="20">
        <v>43703</v>
      </c>
      <c r="I94" s="2">
        <v>43698</v>
      </c>
      <c r="J94" s="4">
        <f t="shared" si="11"/>
        <v>21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1</v>
      </c>
      <c r="Q94" s="3">
        <f t="shared" si="12"/>
        <v>1</v>
      </c>
      <c r="R94" s="1" t="s">
        <v>971</v>
      </c>
      <c r="S94" s="1" t="s">
        <v>23</v>
      </c>
      <c r="T94" s="3">
        <f t="shared" si="13"/>
        <v>1</v>
      </c>
      <c r="U94" s="44">
        <f>IF(Table1[[#This Row],[Initials]]="RM",$AE$10,IF(Table1[[#This Row],[Initials]]="JPH",$AE$11,IF(Table1[[#This Row],[Initials]]="IE",$AE$13,IF(Table1[[#This Row],[Initials]]="JM",$AE$14,1))))</f>
        <v>1</v>
      </c>
      <c r="V94" s="3">
        <f>Table1[[#This Row],[FTE %]]*Table1[[#This Row],[Time Worked]]</f>
        <v>1</v>
      </c>
      <c r="W9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94" s="38">
        <f t="shared" si="14"/>
        <v>0</v>
      </c>
      <c r="Y94" s="18">
        <f t="shared" si="15"/>
        <v>61.93</v>
      </c>
    </row>
    <row r="95" spans="1:25" x14ac:dyDescent="0.25">
      <c r="A95" s="10">
        <f t="shared" si="8"/>
        <v>94</v>
      </c>
      <c r="B95" s="6" t="str">
        <f t="shared" si="9"/>
        <v>82220192606IE</v>
      </c>
      <c r="C95" s="1">
        <v>11066</v>
      </c>
      <c r="D95" s="1" t="s">
        <v>1007</v>
      </c>
      <c r="E95" s="53" t="str">
        <f t="shared" si="10"/>
        <v>External</v>
      </c>
      <c r="F95" s="1">
        <v>2606</v>
      </c>
      <c r="G95" s="37" t="str">
        <f>VLOOKUP(Table1[[#This Row],[WO'#]],Table2[#All],2,FALSE)</f>
        <v>SM18 Independence Valley</v>
      </c>
      <c r="H95" s="20">
        <v>43703</v>
      </c>
      <c r="I95" s="2">
        <v>43699</v>
      </c>
      <c r="J95" s="4">
        <f t="shared" si="11"/>
        <v>22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6</v>
      </c>
      <c r="Q95" s="3">
        <f t="shared" si="12"/>
        <v>6</v>
      </c>
      <c r="R95" s="1" t="s">
        <v>971</v>
      </c>
      <c r="S95" s="1" t="s">
        <v>23</v>
      </c>
      <c r="T95" s="3">
        <f t="shared" si="13"/>
        <v>6</v>
      </c>
      <c r="U95" s="44">
        <f>IF(Table1[[#This Row],[Initials]]="RM",$AE$10,IF(Table1[[#This Row],[Initials]]="JPH",$AE$11,IF(Table1[[#This Row],[Initials]]="IE",$AE$13,IF(Table1[[#This Row],[Initials]]="JM",$AE$14,1))))</f>
        <v>1</v>
      </c>
      <c r="V95" s="3">
        <f>Table1[[#This Row],[FTE %]]*Table1[[#This Row],[Time Worked]]</f>
        <v>6</v>
      </c>
      <c r="W9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95" s="38">
        <f t="shared" si="14"/>
        <v>0</v>
      </c>
      <c r="Y95" s="18">
        <f t="shared" si="15"/>
        <v>371.58</v>
      </c>
    </row>
    <row r="96" spans="1:25" x14ac:dyDescent="0.25">
      <c r="A96" s="10">
        <f t="shared" si="8"/>
        <v>95</v>
      </c>
      <c r="B96" s="6" t="str">
        <f t="shared" si="9"/>
        <v>81520192638JPH</v>
      </c>
      <c r="C96" s="1">
        <v>11093</v>
      </c>
      <c r="D96" s="1" t="s">
        <v>1006</v>
      </c>
      <c r="E96" s="53" t="str">
        <f t="shared" si="10"/>
        <v>Internal</v>
      </c>
      <c r="F96" s="1">
        <v>2638</v>
      </c>
      <c r="G96" s="37" t="str">
        <f>VLOOKUP(Table1[[#This Row],[WO'#]],Table2[#All],2,FALSE)</f>
        <v>P&amp;M - 2nd Half 2019 (FY20)</v>
      </c>
      <c r="H96" s="20">
        <v>43705</v>
      </c>
      <c r="I96" s="2">
        <v>43692</v>
      </c>
      <c r="J96" s="4">
        <f t="shared" si="11"/>
        <v>15</v>
      </c>
      <c r="K96" s="3">
        <v>0</v>
      </c>
      <c r="L96" s="3">
        <v>4.25</v>
      </c>
      <c r="M96" s="3">
        <v>0</v>
      </c>
      <c r="N96" s="3">
        <v>0</v>
      </c>
      <c r="O96" s="3">
        <v>0</v>
      </c>
      <c r="P96" s="3">
        <v>0</v>
      </c>
      <c r="Q96" s="3">
        <f t="shared" si="12"/>
        <v>4.25</v>
      </c>
      <c r="R96" s="1" t="s">
        <v>970</v>
      </c>
      <c r="S96" s="1" t="s">
        <v>23</v>
      </c>
      <c r="T96" s="3">
        <f t="shared" si="13"/>
        <v>4.25</v>
      </c>
      <c r="U96" s="44">
        <f>IF(Table1[[#This Row],[Initials]]="RM",$AE$10,IF(Table1[[#This Row],[Initials]]="JPH",$AE$11,IF(Table1[[#This Row],[Initials]]="IE",$AE$13,IF(Table1[[#This Row],[Initials]]="JM",$AE$14,1))))</f>
        <v>0.53</v>
      </c>
      <c r="V96" s="3">
        <f>Table1[[#This Row],[FTE %]]*Table1[[#This Row],[Time Worked]]</f>
        <v>2.2524999999999999</v>
      </c>
      <c r="W9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96" s="38">
        <f t="shared" si="14"/>
        <v>0</v>
      </c>
      <c r="Y96" s="18">
        <f t="shared" si="15"/>
        <v>263.20249999999999</v>
      </c>
    </row>
    <row r="97" spans="1:25" x14ac:dyDescent="0.25">
      <c r="A97" s="10">
        <f t="shared" si="8"/>
        <v>96</v>
      </c>
      <c r="B97" s="6" t="str">
        <f t="shared" si="9"/>
        <v>81620192638JPH</v>
      </c>
      <c r="C97" s="1">
        <v>11093</v>
      </c>
      <c r="D97" s="1" t="s">
        <v>1006</v>
      </c>
      <c r="E97" s="53" t="str">
        <f t="shared" si="10"/>
        <v>Internal</v>
      </c>
      <c r="F97" s="1">
        <v>2638</v>
      </c>
      <c r="G97" s="37" t="str">
        <f>VLOOKUP(Table1[[#This Row],[WO'#]],Table2[#All],2,FALSE)</f>
        <v>P&amp;M - 2nd Half 2019 (FY20)</v>
      </c>
      <c r="H97" s="20">
        <v>43705</v>
      </c>
      <c r="I97" s="2">
        <v>43693</v>
      </c>
      <c r="J97" s="4">
        <f t="shared" si="11"/>
        <v>16</v>
      </c>
      <c r="K97" s="3">
        <v>0</v>
      </c>
      <c r="L97" s="3">
        <v>4.25</v>
      </c>
      <c r="M97" s="3">
        <v>0</v>
      </c>
      <c r="N97" s="3">
        <v>0</v>
      </c>
      <c r="O97" s="3">
        <v>0</v>
      </c>
      <c r="P97" s="3">
        <v>0</v>
      </c>
      <c r="Q97" s="3">
        <f t="shared" si="12"/>
        <v>4.25</v>
      </c>
      <c r="R97" s="1" t="s">
        <v>970</v>
      </c>
      <c r="S97" s="1" t="s">
        <v>23</v>
      </c>
      <c r="T97" s="3">
        <f t="shared" si="13"/>
        <v>4.25</v>
      </c>
      <c r="U97" s="44">
        <f>IF(Table1[[#This Row],[Initials]]="RM",$AE$10,IF(Table1[[#This Row],[Initials]]="JPH",$AE$11,IF(Table1[[#This Row],[Initials]]="IE",$AE$13,IF(Table1[[#This Row],[Initials]]="JM",$AE$14,1))))</f>
        <v>0.53</v>
      </c>
      <c r="V97" s="3">
        <f>Table1[[#This Row],[FTE %]]*Table1[[#This Row],[Time Worked]]</f>
        <v>2.2524999999999999</v>
      </c>
      <c r="W9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97" s="38">
        <f t="shared" si="14"/>
        <v>0</v>
      </c>
      <c r="Y97" s="18">
        <f t="shared" si="15"/>
        <v>263.20249999999999</v>
      </c>
    </row>
    <row r="98" spans="1:25" x14ac:dyDescent="0.25">
      <c r="A98" s="10">
        <f t="shared" si="8"/>
        <v>97</v>
      </c>
      <c r="B98" s="6" t="str">
        <f t="shared" si="9"/>
        <v>82120192638JPH</v>
      </c>
      <c r="C98" s="1">
        <v>11093</v>
      </c>
      <c r="D98" s="1" t="s">
        <v>1006</v>
      </c>
      <c r="E98" s="53" t="str">
        <f t="shared" si="10"/>
        <v>Internal</v>
      </c>
      <c r="F98" s="1">
        <v>2638</v>
      </c>
      <c r="G98" s="37" t="str">
        <f>VLOOKUP(Table1[[#This Row],[WO'#]],Table2[#All],2,FALSE)</f>
        <v>P&amp;M - 2nd Half 2019 (FY20)</v>
      </c>
      <c r="H98" s="20">
        <v>43705</v>
      </c>
      <c r="I98" s="2">
        <v>43698</v>
      </c>
      <c r="J98" s="4">
        <f t="shared" si="11"/>
        <v>21</v>
      </c>
      <c r="K98" s="3">
        <v>0</v>
      </c>
      <c r="L98" s="3">
        <v>4.25</v>
      </c>
      <c r="M98" s="3">
        <v>0</v>
      </c>
      <c r="N98" s="3">
        <v>0</v>
      </c>
      <c r="O98" s="3">
        <v>0</v>
      </c>
      <c r="P98" s="3">
        <v>0</v>
      </c>
      <c r="Q98" s="3">
        <f t="shared" si="12"/>
        <v>4.25</v>
      </c>
      <c r="R98" s="1" t="s">
        <v>970</v>
      </c>
      <c r="S98" s="1" t="s">
        <v>23</v>
      </c>
      <c r="T98" s="3">
        <f t="shared" si="13"/>
        <v>4.25</v>
      </c>
      <c r="U98" s="44">
        <f>IF(Table1[[#This Row],[Initials]]="RM",$AE$10,IF(Table1[[#This Row],[Initials]]="JPH",$AE$11,IF(Table1[[#This Row],[Initials]]="IE",$AE$13,IF(Table1[[#This Row],[Initials]]="JM",$AE$14,1))))</f>
        <v>0.53</v>
      </c>
      <c r="V98" s="3">
        <f>Table1[[#This Row],[FTE %]]*Table1[[#This Row],[Time Worked]]</f>
        <v>2.2524999999999999</v>
      </c>
      <c r="W9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98" s="38">
        <f t="shared" si="14"/>
        <v>0</v>
      </c>
      <c r="Y98" s="18">
        <f t="shared" si="15"/>
        <v>263.20249999999999</v>
      </c>
    </row>
    <row r="99" spans="1:25" x14ac:dyDescent="0.25">
      <c r="A99" s="10">
        <f t="shared" si="8"/>
        <v>98</v>
      </c>
      <c r="B99" s="6" t="str">
        <f t="shared" si="9"/>
        <v>82220192638JPH</v>
      </c>
      <c r="C99" s="1">
        <v>11093</v>
      </c>
      <c r="D99" s="1" t="s">
        <v>1006</v>
      </c>
      <c r="E99" s="53" t="str">
        <f t="shared" si="10"/>
        <v>Internal</v>
      </c>
      <c r="F99" s="1">
        <v>2638</v>
      </c>
      <c r="G99" s="37" t="str">
        <f>VLOOKUP(Table1[[#This Row],[WO'#]],Table2[#All],2,FALSE)</f>
        <v>P&amp;M - 2nd Half 2019 (FY20)</v>
      </c>
      <c r="H99" s="20">
        <v>43705</v>
      </c>
      <c r="I99" s="2">
        <v>43699</v>
      </c>
      <c r="J99" s="4">
        <f t="shared" si="11"/>
        <v>22</v>
      </c>
      <c r="K99" s="3">
        <v>0</v>
      </c>
      <c r="L99" s="3">
        <v>4.25</v>
      </c>
      <c r="M99" s="3">
        <v>0</v>
      </c>
      <c r="N99" s="3">
        <v>0</v>
      </c>
      <c r="O99" s="3">
        <v>0</v>
      </c>
      <c r="P99" s="3">
        <v>0</v>
      </c>
      <c r="Q99" s="3">
        <f t="shared" si="12"/>
        <v>4.25</v>
      </c>
      <c r="R99" s="1" t="s">
        <v>970</v>
      </c>
      <c r="S99" s="1" t="s">
        <v>23</v>
      </c>
      <c r="T99" s="3">
        <f t="shared" si="13"/>
        <v>4.25</v>
      </c>
      <c r="U99" s="44">
        <f>IF(Table1[[#This Row],[Initials]]="RM",$AE$10,IF(Table1[[#This Row],[Initials]]="JPH",$AE$11,IF(Table1[[#This Row],[Initials]]="IE",$AE$13,IF(Table1[[#This Row],[Initials]]="JM",$AE$14,1))))</f>
        <v>0.53</v>
      </c>
      <c r="V99" s="3">
        <f>Table1[[#This Row],[FTE %]]*Table1[[#This Row],[Time Worked]]</f>
        <v>2.2524999999999999</v>
      </c>
      <c r="W9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99" s="38">
        <f t="shared" si="14"/>
        <v>0</v>
      </c>
      <c r="Y99" s="18">
        <f t="shared" si="15"/>
        <v>263.20249999999999</v>
      </c>
    </row>
    <row r="100" spans="1:25" x14ac:dyDescent="0.25">
      <c r="A100" s="10">
        <f t="shared" si="8"/>
        <v>99</v>
      </c>
      <c r="B100" s="6" t="str">
        <f t="shared" si="9"/>
        <v>82320192638JPH</v>
      </c>
      <c r="C100" s="1">
        <v>11093</v>
      </c>
      <c r="D100" s="1" t="s">
        <v>1006</v>
      </c>
      <c r="E100" s="53" t="str">
        <f t="shared" si="10"/>
        <v>Internal</v>
      </c>
      <c r="F100" s="1">
        <v>2638</v>
      </c>
      <c r="G100" s="37" t="str">
        <f>VLOOKUP(Table1[[#This Row],[WO'#]],Table2[#All],2,FALSE)</f>
        <v>P&amp;M - 2nd Half 2019 (FY20)</v>
      </c>
      <c r="H100" s="20">
        <v>43705</v>
      </c>
      <c r="I100" s="2">
        <v>43700</v>
      </c>
      <c r="J100" s="4">
        <f t="shared" si="11"/>
        <v>23</v>
      </c>
      <c r="K100" s="3">
        <v>0</v>
      </c>
      <c r="L100" s="3">
        <v>4.25</v>
      </c>
      <c r="M100" s="3">
        <v>0</v>
      </c>
      <c r="N100" s="3">
        <v>0</v>
      </c>
      <c r="O100" s="3">
        <v>0</v>
      </c>
      <c r="P100" s="3">
        <v>0</v>
      </c>
      <c r="Q100" s="3">
        <f t="shared" si="12"/>
        <v>4.25</v>
      </c>
      <c r="R100" s="1" t="s">
        <v>970</v>
      </c>
      <c r="S100" s="1" t="s">
        <v>23</v>
      </c>
      <c r="T100" s="3">
        <f t="shared" si="13"/>
        <v>4.25</v>
      </c>
      <c r="U100" s="44">
        <f>IF(Table1[[#This Row],[Initials]]="RM",$AE$10,IF(Table1[[#This Row],[Initials]]="JPH",$AE$11,IF(Table1[[#This Row],[Initials]]="IE",$AE$13,IF(Table1[[#This Row],[Initials]]="JM",$AE$14,1))))</f>
        <v>0.53</v>
      </c>
      <c r="V100" s="3">
        <f>Table1[[#This Row],[FTE %]]*Table1[[#This Row],[Time Worked]]</f>
        <v>2.2524999999999999</v>
      </c>
      <c r="W10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00" s="38">
        <f t="shared" si="14"/>
        <v>0</v>
      </c>
      <c r="Y100" s="18">
        <f t="shared" si="15"/>
        <v>263.20249999999999</v>
      </c>
    </row>
    <row r="101" spans="1:25" x14ac:dyDescent="0.25">
      <c r="A101" s="10">
        <f t="shared" si="8"/>
        <v>100</v>
      </c>
      <c r="B101" s="6" t="str">
        <f t="shared" si="9"/>
        <v>82620192638JPH</v>
      </c>
      <c r="C101" s="1">
        <v>11093</v>
      </c>
      <c r="D101" s="1" t="s">
        <v>1006</v>
      </c>
      <c r="E101" s="53" t="str">
        <f t="shared" si="10"/>
        <v>Internal</v>
      </c>
      <c r="F101" s="1">
        <v>2638</v>
      </c>
      <c r="G101" s="37" t="str">
        <f>VLOOKUP(Table1[[#This Row],[WO'#]],Table2[#All],2,FALSE)</f>
        <v>P&amp;M - 2nd Half 2019 (FY20)</v>
      </c>
      <c r="H101" s="20">
        <v>43705</v>
      </c>
      <c r="I101" s="2">
        <v>43703</v>
      </c>
      <c r="J101" s="4">
        <f t="shared" si="11"/>
        <v>26</v>
      </c>
      <c r="K101" s="3">
        <v>0</v>
      </c>
      <c r="L101" s="3">
        <v>4.25</v>
      </c>
      <c r="M101" s="3">
        <v>0</v>
      </c>
      <c r="N101" s="3">
        <v>0</v>
      </c>
      <c r="O101" s="3">
        <v>0</v>
      </c>
      <c r="P101" s="3">
        <v>0</v>
      </c>
      <c r="Q101" s="3">
        <f t="shared" si="12"/>
        <v>4.25</v>
      </c>
      <c r="R101" s="1" t="s">
        <v>970</v>
      </c>
      <c r="S101" s="1" t="s">
        <v>23</v>
      </c>
      <c r="T101" s="3">
        <f t="shared" si="13"/>
        <v>4.25</v>
      </c>
      <c r="U101" s="44">
        <f>IF(Table1[[#This Row],[Initials]]="RM",$AE$10,IF(Table1[[#This Row],[Initials]]="JPH",$AE$11,IF(Table1[[#This Row],[Initials]]="IE",$AE$13,IF(Table1[[#This Row],[Initials]]="JM",$AE$14,1))))</f>
        <v>0.53</v>
      </c>
      <c r="V101" s="3">
        <f>Table1[[#This Row],[FTE %]]*Table1[[#This Row],[Time Worked]]</f>
        <v>2.2524999999999999</v>
      </c>
      <c r="W10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01" s="38">
        <f t="shared" si="14"/>
        <v>0</v>
      </c>
      <c r="Y101" s="18">
        <f t="shared" si="15"/>
        <v>263.20249999999999</v>
      </c>
    </row>
    <row r="102" spans="1:25" x14ac:dyDescent="0.25">
      <c r="A102" s="10">
        <f t="shared" si="8"/>
        <v>101</v>
      </c>
      <c r="B102" s="6" t="str">
        <f t="shared" si="9"/>
        <v>8720192636JM</v>
      </c>
      <c r="C102" s="1">
        <v>11097</v>
      </c>
      <c r="D102" s="1" t="s">
        <v>1036</v>
      </c>
      <c r="E102" s="53" t="str">
        <f t="shared" si="10"/>
        <v>External</v>
      </c>
      <c r="F102" s="1">
        <v>2636</v>
      </c>
      <c r="G102" s="37" t="str">
        <f>VLOOKUP(Table1[[#This Row],[WO'#]],Table2[#All],2,FALSE)</f>
        <v>2019 Preservation Grant</v>
      </c>
      <c r="H102" s="20">
        <v>43705</v>
      </c>
      <c r="I102" s="2">
        <v>43684</v>
      </c>
      <c r="J102" s="4">
        <f t="shared" si="11"/>
        <v>7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0.5</v>
      </c>
      <c r="Q102" s="3">
        <f t="shared" si="12"/>
        <v>0.5</v>
      </c>
      <c r="R102" s="1" t="s">
        <v>972</v>
      </c>
      <c r="S102" s="1" t="s">
        <v>23</v>
      </c>
      <c r="T102" s="3">
        <f t="shared" si="13"/>
        <v>0.5</v>
      </c>
      <c r="U102" s="44">
        <f>IF(Table1[[#This Row],[Initials]]="RM",$AE$10,IF(Table1[[#This Row],[Initials]]="JPH",$AE$11,IF(Table1[[#This Row],[Initials]]="IE",$AE$13,IF(Table1[[#This Row],[Initials]]="JM",$AE$14,1))))</f>
        <v>0.39500000000000002</v>
      </c>
      <c r="V102" s="3">
        <f>Table1[[#This Row],[FTE %]]*Table1[[#This Row],[Time Worked]]</f>
        <v>0.19750000000000001</v>
      </c>
      <c r="W10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02" s="38">
        <f t="shared" si="14"/>
        <v>0</v>
      </c>
      <c r="Y102" s="18">
        <f t="shared" si="15"/>
        <v>30.965</v>
      </c>
    </row>
    <row r="103" spans="1:25" x14ac:dyDescent="0.25">
      <c r="A103" s="10">
        <f t="shared" si="8"/>
        <v>102</v>
      </c>
      <c r="B103" s="6" t="str">
        <f t="shared" si="9"/>
        <v>8820192636JM</v>
      </c>
      <c r="C103" s="1">
        <v>11097</v>
      </c>
      <c r="D103" s="1" t="s">
        <v>1036</v>
      </c>
      <c r="E103" s="53" t="str">
        <f t="shared" si="10"/>
        <v>External</v>
      </c>
      <c r="F103" s="1">
        <v>2636</v>
      </c>
      <c r="G103" s="37" t="str">
        <f>VLOOKUP(Table1[[#This Row],[WO'#]],Table2[#All],2,FALSE)</f>
        <v>2019 Preservation Grant</v>
      </c>
      <c r="H103" s="20">
        <v>43705</v>
      </c>
      <c r="I103" s="2">
        <v>43685</v>
      </c>
      <c r="J103" s="4">
        <f t="shared" si="11"/>
        <v>8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0.25</v>
      </c>
      <c r="Q103" s="3">
        <f t="shared" si="12"/>
        <v>0.25</v>
      </c>
      <c r="R103" s="1" t="s">
        <v>972</v>
      </c>
      <c r="S103" s="1" t="s">
        <v>23</v>
      </c>
      <c r="T103" s="3">
        <f t="shared" si="13"/>
        <v>0.25</v>
      </c>
      <c r="U103" s="44">
        <f>IF(Table1[[#This Row],[Initials]]="RM",$AE$10,IF(Table1[[#This Row],[Initials]]="JPH",$AE$11,IF(Table1[[#This Row],[Initials]]="IE",$AE$13,IF(Table1[[#This Row],[Initials]]="JM",$AE$14,1))))</f>
        <v>0.39500000000000002</v>
      </c>
      <c r="V103" s="3">
        <f>Table1[[#This Row],[FTE %]]*Table1[[#This Row],[Time Worked]]</f>
        <v>9.8750000000000004E-2</v>
      </c>
      <c r="W10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03" s="38">
        <f t="shared" si="14"/>
        <v>0</v>
      </c>
      <c r="Y103" s="18">
        <f t="shared" si="15"/>
        <v>15.4825</v>
      </c>
    </row>
    <row r="104" spans="1:25" x14ac:dyDescent="0.25">
      <c r="A104" s="10">
        <f t="shared" si="8"/>
        <v>103</v>
      </c>
      <c r="B104" s="6" t="str">
        <f t="shared" si="9"/>
        <v>82620192636RM</v>
      </c>
      <c r="C104" s="1">
        <v>11097</v>
      </c>
      <c r="D104" s="1" t="s">
        <v>1036</v>
      </c>
      <c r="E104" s="53" t="str">
        <f t="shared" si="10"/>
        <v>External</v>
      </c>
      <c r="F104" s="1">
        <v>2636</v>
      </c>
      <c r="G104" s="37" t="str">
        <f>VLOOKUP(Table1[[#This Row],[WO'#]],Table2[#All],2,FALSE)</f>
        <v>2019 Preservation Grant</v>
      </c>
      <c r="H104" s="20">
        <v>43705</v>
      </c>
      <c r="I104" s="2">
        <v>43703</v>
      </c>
      <c r="J104" s="4">
        <f t="shared" si="11"/>
        <v>26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1</v>
      </c>
      <c r="Q104" s="3">
        <f t="shared" si="12"/>
        <v>1</v>
      </c>
      <c r="R104" s="1" t="s">
        <v>17</v>
      </c>
      <c r="S104" s="1" t="s">
        <v>23</v>
      </c>
      <c r="T104" s="3">
        <f t="shared" si="13"/>
        <v>1</v>
      </c>
      <c r="U104" s="44">
        <f>IF(Table1[[#This Row],[Initials]]="RM",$AE$10,IF(Table1[[#This Row],[Initials]]="JPH",$AE$11,IF(Table1[[#This Row],[Initials]]="IE",$AE$13,IF(Table1[[#This Row],[Initials]]="JM",$AE$14,1))))</f>
        <v>0.5</v>
      </c>
      <c r="V104" s="3">
        <f>Table1[[#This Row],[FTE %]]*Table1[[#This Row],[Time Worked]]</f>
        <v>0.5</v>
      </c>
      <c r="W10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04" s="38">
        <f t="shared" si="14"/>
        <v>0</v>
      </c>
      <c r="Y104" s="18">
        <f t="shared" si="15"/>
        <v>61.93</v>
      </c>
    </row>
    <row r="105" spans="1:25" x14ac:dyDescent="0.25">
      <c r="A105" s="10">
        <f t="shared" si="8"/>
        <v>104</v>
      </c>
      <c r="B105" s="6" t="str">
        <f t="shared" si="9"/>
        <v>82720192636RM</v>
      </c>
      <c r="C105" s="1">
        <v>11097</v>
      </c>
      <c r="D105" s="1" t="s">
        <v>1036</v>
      </c>
      <c r="E105" s="53" t="str">
        <f t="shared" si="10"/>
        <v>External</v>
      </c>
      <c r="F105" s="1">
        <v>2636</v>
      </c>
      <c r="G105" s="37" t="str">
        <f>VLOOKUP(Table1[[#This Row],[WO'#]],Table2[#All],2,FALSE)</f>
        <v>2019 Preservation Grant</v>
      </c>
      <c r="H105" s="20">
        <v>43705</v>
      </c>
      <c r="I105" s="2">
        <v>43704</v>
      </c>
      <c r="J105" s="4">
        <f t="shared" si="11"/>
        <v>27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9.5</v>
      </c>
      <c r="Q105" s="3">
        <f t="shared" si="12"/>
        <v>9.5</v>
      </c>
      <c r="R105" s="1" t="s">
        <v>17</v>
      </c>
      <c r="S105" s="1" t="s">
        <v>23</v>
      </c>
      <c r="T105" s="3">
        <f t="shared" si="13"/>
        <v>9.5</v>
      </c>
      <c r="U105" s="44">
        <f>IF(Table1[[#This Row],[Initials]]="RM",$AE$10,IF(Table1[[#This Row],[Initials]]="JPH",$AE$11,IF(Table1[[#This Row],[Initials]]="IE",$AE$13,IF(Table1[[#This Row],[Initials]]="JM",$AE$14,1))))</f>
        <v>0.5</v>
      </c>
      <c r="V105" s="3">
        <f>Table1[[#This Row],[FTE %]]*Table1[[#This Row],[Time Worked]]</f>
        <v>4.75</v>
      </c>
      <c r="W10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588.33500000000004</v>
      </c>
      <c r="X105" s="38">
        <f t="shared" si="14"/>
        <v>0</v>
      </c>
      <c r="Y105" s="18">
        <f t="shared" si="15"/>
        <v>588.33500000000004</v>
      </c>
    </row>
    <row r="106" spans="1:25" x14ac:dyDescent="0.25">
      <c r="A106" s="10">
        <f t="shared" si="8"/>
        <v>105</v>
      </c>
      <c r="B106" s="6" t="str">
        <f t="shared" si="9"/>
        <v>82720192601IE</v>
      </c>
      <c r="C106" s="1">
        <v>11115</v>
      </c>
      <c r="D106" s="1" t="s">
        <v>1010</v>
      </c>
      <c r="E106" s="53" t="str">
        <f t="shared" si="10"/>
        <v>External</v>
      </c>
      <c r="F106" s="1">
        <v>2601</v>
      </c>
      <c r="G106" s="37" t="str">
        <f>VLOOKUP(Table1[[#This Row],[WO'#]],Table2[#All],2,FALSE)</f>
        <v>SM18 Gordon Creek GIS Migration</v>
      </c>
      <c r="H106" s="20">
        <v>43705</v>
      </c>
      <c r="I106" s="2">
        <v>43704</v>
      </c>
      <c r="J106" s="4">
        <f t="shared" si="11"/>
        <v>27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0.5</v>
      </c>
      <c r="Q106" s="3">
        <f t="shared" si="12"/>
        <v>0.5</v>
      </c>
      <c r="R106" s="1" t="s">
        <v>971</v>
      </c>
      <c r="S106" s="1" t="s">
        <v>23</v>
      </c>
      <c r="T106" s="3">
        <f t="shared" si="13"/>
        <v>0.5</v>
      </c>
      <c r="U106" s="44">
        <f>IF(Table1[[#This Row],[Initials]]="RM",$AE$10,IF(Table1[[#This Row],[Initials]]="JPH",$AE$11,IF(Table1[[#This Row],[Initials]]="IE",$AE$13,IF(Table1[[#This Row],[Initials]]="JM",$AE$14,1))))</f>
        <v>1</v>
      </c>
      <c r="V106" s="3">
        <f>Table1[[#This Row],[FTE %]]*Table1[[#This Row],[Time Worked]]</f>
        <v>0.5</v>
      </c>
      <c r="W10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06" s="38">
        <f t="shared" si="14"/>
        <v>0</v>
      </c>
      <c r="Y106" s="18">
        <f t="shared" si="15"/>
        <v>30.965</v>
      </c>
    </row>
    <row r="107" spans="1:25" x14ac:dyDescent="0.25">
      <c r="A107" s="10">
        <f t="shared" si="8"/>
        <v>106</v>
      </c>
      <c r="B107" s="6" t="str">
        <f t="shared" si="9"/>
        <v>82320192606JM</v>
      </c>
      <c r="C107" s="1">
        <v>11115</v>
      </c>
      <c r="D107" s="1" t="s">
        <v>1007</v>
      </c>
      <c r="E107" s="53" t="str">
        <f t="shared" si="10"/>
        <v>External</v>
      </c>
      <c r="F107" s="1">
        <v>2606</v>
      </c>
      <c r="G107" s="37" t="str">
        <f>VLOOKUP(Table1[[#This Row],[WO'#]],Table2[#All],2,FALSE)</f>
        <v>SM18 Independence Valley</v>
      </c>
      <c r="H107" s="20">
        <v>43705</v>
      </c>
      <c r="I107" s="2">
        <v>43700</v>
      </c>
      <c r="J107" s="4">
        <f t="shared" si="11"/>
        <v>23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0.5</v>
      </c>
      <c r="Q107" s="3">
        <f t="shared" si="12"/>
        <v>0.5</v>
      </c>
      <c r="R107" s="1" t="s">
        <v>972</v>
      </c>
      <c r="S107" s="1" t="s">
        <v>23</v>
      </c>
      <c r="T107" s="3">
        <f t="shared" si="13"/>
        <v>0.5</v>
      </c>
      <c r="U107" s="44">
        <f>IF(Table1[[#This Row],[Initials]]="RM",$AE$10,IF(Table1[[#This Row],[Initials]]="JPH",$AE$11,IF(Table1[[#This Row],[Initials]]="IE",$AE$13,IF(Table1[[#This Row],[Initials]]="JM",$AE$14,1))))</f>
        <v>0.39500000000000002</v>
      </c>
      <c r="V107" s="3">
        <f>Table1[[#This Row],[FTE %]]*Table1[[#This Row],[Time Worked]]</f>
        <v>0.19750000000000001</v>
      </c>
      <c r="W10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07" s="38">
        <f t="shared" si="14"/>
        <v>0</v>
      </c>
      <c r="Y107" s="18">
        <f t="shared" si="15"/>
        <v>30.965</v>
      </c>
    </row>
    <row r="108" spans="1:25" x14ac:dyDescent="0.25">
      <c r="A108" s="10">
        <f t="shared" si="8"/>
        <v>107</v>
      </c>
      <c r="B108" s="6" t="str">
        <f t="shared" si="9"/>
        <v>82520192606JM</v>
      </c>
      <c r="C108" s="1">
        <v>11115</v>
      </c>
      <c r="D108" s="1" t="s">
        <v>1007</v>
      </c>
      <c r="E108" s="53" t="str">
        <f t="shared" si="10"/>
        <v>External</v>
      </c>
      <c r="F108" s="1">
        <v>2606</v>
      </c>
      <c r="G108" s="37" t="str">
        <f>VLOOKUP(Table1[[#This Row],[WO'#]],Table2[#All],2,FALSE)</f>
        <v>SM18 Independence Valley</v>
      </c>
      <c r="H108" s="20">
        <v>43705</v>
      </c>
      <c r="I108" s="2">
        <v>43702</v>
      </c>
      <c r="J108" s="4">
        <f t="shared" si="11"/>
        <v>25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0.25</v>
      </c>
      <c r="Q108" s="3">
        <f t="shared" si="12"/>
        <v>0.25</v>
      </c>
      <c r="R108" s="1" t="s">
        <v>972</v>
      </c>
      <c r="S108" s="1" t="s">
        <v>23</v>
      </c>
      <c r="T108" s="3">
        <f t="shared" si="13"/>
        <v>0.25</v>
      </c>
      <c r="U108" s="44">
        <f>IF(Table1[[#This Row],[Initials]]="RM",$AE$10,IF(Table1[[#This Row],[Initials]]="JPH",$AE$11,IF(Table1[[#This Row],[Initials]]="IE",$AE$13,IF(Table1[[#This Row],[Initials]]="JM",$AE$14,1))))</f>
        <v>0.39500000000000002</v>
      </c>
      <c r="V108" s="3">
        <f>Table1[[#This Row],[FTE %]]*Table1[[#This Row],[Time Worked]]</f>
        <v>9.8750000000000004E-2</v>
      </c>
      <c r="W10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08" s="38">
        <f t="shared" si="14"/>
        <v>0</v>
      </c>
      <c r="Y108" s="18">
        <f t="shared" si="15"/>
        <v>15.4825</v>
      </c>
    </row>
    <row r="109" spans="1:25" x14ac:dyDescent="0.25">
      <c r="A109" s="10">
        <f t="shared" si="8"/>
        <v>108</v>
      </c>
      <c r="B109" s="6" t="str">
        <f t="shared" si="9"/>
        <v>82620192606IE</v>
      </c>
      <c r="C109" s="1">
        <v>11115</v>
      </c>
      <c r="D109" s="1" t="s">
        <v>1007</v>
      </c>
      <c r="E109" s="53" t="str">
        <f t="shared" si="10"/>
        <v>External</v>
      </c>
      <c r="F109" s="1">
        <v>2606</v>
      </c>
      <c r="G109" s="37" t="str">
        <f>VLOOKUP(Table1[[#This Row],[WO'#]],Table2[#All],2,FALSE)</f>
        <v>SM18 Independence Valley</v>
      </c>
      <c r="H109" s="20">
        <v>43705</v>
      </c>
      <c r="I109" s="2">
        <v>43703</v>
      </c>
      <c r="J109" s="4">
        <f t="shared" si="11"/>
        <v>26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8.5</v>
      </c>
      <c r="Q109" s="3">
        <f t="shared" si="12"/>
        <v>8.5</v>
      </c>
      <c r="R109" s="1" t="s">
        <v>971</v>
      </c>
      <c r="S109" s="1" t="s">
        <v>23</v>
      </c>
      <c r="T109" s="3">
        <f t="shared" si="13"/>
        <v>8.5</v>
      </c>
      <c r="U109" s="44">
        <f>IF(Table1[[#This Row],[Initials]]="RM",$AE$10,IF(Table1[[#This Row],[Initials]]="JPH",$AE$11,IF(Table1[[#This Row],[Initials]]="IE",$AE$13,IF(Table1[[#This Row],[Initials]]="JM",$AE$14,1))))</f>
        <v>1</v>
      </c>
      <c r="V109" s="3">
        <f>Table1[[#This Row],[FTE %]]*Table1[[#This Row],[Time Worked]]</f>
        <v>8.5</v>
      </c>
      <c r="W10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526.40499999999997</v>
      </c>
      <c r="X109" s="38">
        <f t="shared" si="14"/>
        <v>0</v>
      </c>
      <c r="Y109" s="18">
        <f t="shared" si="15"/>
        <v>526.40499999999997</v>
      </c>
    </row>
    <row r="110" spans="1:25" x14ac:dyDescent="0.25">
      <c r="A110" s="10">
        <f t="shared" si="8"/>
        <v>109</v>
      </c>
      <c r="B110" s="6" t="str">
        <f t="shared" si="9"/>
        <v>82720192606IE</v>
      </c>
      <c r="C110" s="1">
        <v>11115</v>
      </c>
      <c r="D110" s="1" t="s">
        <v>1007</v>
      </c>
      <c r="E110" s="53" t="str">
        <f t="shared" si="10"/>
        <v>External</v>
      </c>
      <c r="F110" s="1">
        <v>2606</v>
      </c>
      <c r="G110" s="37" t="str">
        <f>VLOOKUP(Table1[[#This Row],[WO'#]],Table2[#All],2,FALSE)</f>
        <v>SM18 Independence Valley</v>
      </c>
      <c r="H110" s="20">
        <v>43705</v>
      </c>
      <c r="I110" s="2">
        <v>43704</v>
      </c>
      <c r="J110" s="4">
        <f t="shared" si="11"/>
        <v>27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3</v>
      </c>
      <c r="Q110" s="3">
        <f t="shared" si="12"/>
        <v>3</v>
      </c>
      <c r="R110" s="1" t="s">
        <v>971</v>
      </c>
      <c r="S110" s="1" t="s">
        <v>23</v>
      </c>
      <c r="T110" s="3">
        <f t="shared" si="13"/>
        <v>3</v>
      </c>
      <c r="U110" s="44">
        <f>IF(Table1[[#This Row],[Initials]]="RM",$AE$10,IF(Table1[[#This Row],[Initials]]="JPH",$AE$11,IF(Table1[[#This Row],[Initials]]="IE",$AE$13,IF(Table1[[#This Row],[Initials]]="JM",$AE$14,1))))</f>
        <v>1</v>
      </c>
      <c r="V110" s="3">
        <f>Table1[[#This Row],[FTE %]]*Table1[[#This Row],[Time Worked]]</f>
        <v>3</v>
      </c>
      <c r="W1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10" s="38">
        <f t="shared" si="14"/>
        <v>0</v>
      </c>
      <c r="Y110" s="18">
        <f t="shared" si="15"/>
        <v>185.79</v>
      </c>
    </row>
    <row r="111" spans="1:25" x14ac:dyDescent="0.25">
      <c r="A111" s="10">
        <f t="shared" si="8"/>
        <v>110</v>
      </c>
      <c r="B111" s="6" t="str">
        <f t="shared" si="9"/>
        <v>82620192607IE</v>
      </c>
      <c r="C111" s="1">
        <v>11115</v>
      </c>
      <c r="D111" s="1" t="s">
        <v>1009</v>
      </c>
      <c r="E111" s="53" t="str">
        <f t="shared" si="10"/>
        <v>External</v>
      </c>
      <c r="F111" s="1">
        <v>2607</v>
      </c>
      <c r="G111" s="37" t="str">
        <f>VLOOKUP(Table1[[#This Row],[WO'#]],Table2[#All],2,FALSE)</f>
        <v>SM18 Washoe City</v>
      </c>
      <c r="H111" s="20">
        <v>43705</v>
      </c>
      <c r="I111" s="2">
        <v>43703</v>
      </c>
      <c r="J111" s="4">
        <f t="shared" si="11"/>
        <v>26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0.5</v>
      </c>
      <c r="Q111" s="3">
        <f t="shared" si="12"/>
        <v>0.5</v>
      </c>
      <c r="R111" s="1" t="s">
        <v>971</v>
      </c>
      <c r="S111" s="1" t="s">
        <v>23</v>
      </c>
      <c r="T111" s="3">
        <f t="shared" si="13"/>
        <v>0.5</v>
      </c>
      <c r="U111" s="44">
        <f>IF(Table1[[#This Row],[Initials]]="RM",$AE$10,IF(Table1[[#This Row],[Initials]]="JPH",$AE$11,IF(Table1[[#This Row],[Initials]]="IE",$AE$13,IF(Table1[[#This Row],[Initials]]="JM",$AE$14,1))))</f>
        <v>1</v>
      </c>
      <c r="V111" s="3">
        <f>Table1[[#This Row],[FTE %]]*Table1[[#This Row],[Time Worked]]</f>
        <v>0.5</v>
      </c>
      <c r="W1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11" s="38">
        <f t="shared" si="14"/>
        <v>0</v>
      </c>
      <c r="Y111" s="18">
        <f t="shared" si="15"/>
        <v>30.965</v>
      </c>
    </row>
    <row r="112" spans="1:25" x14ac:dyDescent="0.25">
      <c r="A112" s="10">
        <f t="shared" si="8"/>
        <v>111</v>
      </c>
      <c r="B112" s="6" t="str">
        <f t="shared" si="9"/>
        <v>7120192636RM</v>
      </c>
      <c r="C112" s="1">
        <v>11168</v>
      </c>
      <c r="D112" s="1" t="s">
        <v>1036</v>
      </c>
      <c r="E112" s="1" t="str">
        <f t="shared" si="10"/>
        <v>External</v>
      </c>
      <c r="F112" s="1">
        <v>2636</v>
      </c>
      <c r="G112" s="37" t="str">
        <f>VLOOKUP(Table1[[#This Row],[WO'#]],Table2[#All],2,FALSE)</f>
        <v>2019 Preservation Grant</v>
      </c>
      <c r="H112" s="20">
        <v>43707</v>
      </c>
      <c r="I112" s="2">
        <v>43647</v>
      </c>
      <c r="J112" s="4">
        <f t="shared" si="11"/>
        <v>1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0.75</v>
      </c>
      <c r="Q112" s="3">
        <f t="shared" si="12"/>
        <v>0.75</v>
      </c>
      <c r="R112" s="1" t="s">
        <v>17</v>
      </c>
      <c r="S112" s="1" t="s">
        <v>23</v>
      </c>
      <c r="T112" s="3">
        <f t="shared" si="13"/>
        <v>0.75</v>
      </c>
      <c r="U112" s="44">
        <f>IF(Table1[[#This Row],[Initials]]="RM",$AE$10,IF(Table1[[#This Row],[Initials]]="JPH",$AE$11,IF(Table1[[#This Row],[Initials]]="IE",$AE$13,IF(Table1[[#This Row],[Initials]]="JM",$AE$14,1))))</f>
        <v>0.5</v>
      </c>
      <c r="V112" s="3">
        <f>Table1[[#This Row],[FTE %]]*Table1[[#This Row],[Time Worked]]</f>
        <v>0.375</v>
      </c>
      <c r="W1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112" s="38">
        <f t="shared" si="14"/>
        <v>0</v>
      </c>
      <c r="Y112" s="18">
        <f t="shared" si="15"/>
        <v>46.447499999999998</v>
      </c>
    </row>
    <row r="113" spans="1:25" x14ac:dyDescent="0.25">
      <c r="A113" s="10">
        <f t="shared" si="8"/>
        <v>112</v>
      </c>
      <c r="B113" s="6" t="str">
        <f t="shared" si="9"/>
        <v>73120192636RM</v>
      </c>
      <c r="C113" s="1">
        <v>11168</v>
      </c>
      <c r="D113" s="1" t="s">
        <v>1036</v>
      </c>
      <c r="E113" s="53" t="str">
        <f t="shared" si="10"/>
        <v>External</v>
      </c>
      <c r="F113" s="1">
        <v>2636</v>
      </c>
      <c r="G113" s="37" t="str">
        <f>VLOOKUP(Table1[[#This Row],[WO'#]],Table2[#All],2,FALSE)</f>
        <v>2019 Preservation Grant</v>
      </c>
      <c r="H113" s="20">
        <v>43707</v>
      </c>
      <c r="I113" s="2">
        <v>43677</v>
      </c>
      <c r="J113" s="4">
        <f t="shared" si="11"/>
        <v>31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5.5</v>
      </c>
      <c r="Q113" s="3">
        <f t="shared" si="12"/>
        <v>5.5</v>
      </c>
      <c r="R113" s="1" t="s">
        <v>17</v>
      </c>
      <c r="S113" s="1" t="s">
        <v>23</v>
      </c>
      <c r="T113" s="3">
        <f t="shared" si="13"/>
        <v>5.5</v>
      </c>
      <c r="U113" s="44">
        <f>IF(Table1[[#This Row],[Initials]]="RM",$AE$10,IF(Table1[[#This Row],[Initials]]="JPH",$AE$11,IF(Table1[[#This Row],[Initials]]="IE",$AE$13,IF(Table1[[#This Row],[Initials]]="JM",$AE$14,1))))</f>
        <v>0.5</v>
      </c>
      <c r="V113" s="3">
        <f>Table1[[#This Row],[FTE %]]*Table1[[#This Row],[Time Worked]]</f>
        <v>2.75</v>
      </c>
      <c r="W1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340.61500000000001</v>
      </c>
      <c r="X113" s="38">
        <f t="shared" si="14"/>
        <v>0</v>
      </c>
      <c r="Y113" s="18">
        <f t="shared" si="15"/>
        <v>340.61500000000001</v>
      </c>
    </row>
    <row r="114" spans="1:25" x14ac:dyDescent="0.25">
      <c r="A114" s="10">
        <f t="shared" si="8"/>
        <v>113</v>
      </c>
      <c r="B114" s="6" t="str">
        <f t="shared" si="9"/>
        <v>8720192636RM</v>
      </c>
      <c r="C114" s="1">
        <v>11168</v>
      </c>
      <c r="D114" s="1" t="s">
        <v>1036</v>
      </c>
      <c r="E114" s="53" t="str">
        <f t="shared" si="10"/>
        <v>External</v>
      </c>
      <c r="F114" s="1">
        <v>2636</v>
      </c>
      <c r="G114" s="37" t="str">
        <f>VLOOKUP(Table1[[#This Row],[WO'#]],Table2[#All],2,FALSE)</f>
        <v>2019 Preservation Grant</v>
      </c>
      <c r="H114" s="20">
        <v>43707</v>
      </c>
      <c r="I114" s="2">
        <v>43684</v>
      </c>
      <c r="J114" s="4">
        <f t="shared" si="11"/>
        <v>7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9</v>
      </c>
      <c r="Q114" s="3">
        <f t="shared" si="12"/>
        <v>9</v>
      </c>
      <c r="R114" s="1" t="s">
        <v>17</v>
      </c>
      <c r="S114" s="1" t="s">
        <v>23</v>
      </c>
      <c r="T114" s="3">
        <f t="shared" si="13"/>
        <v>9</v>
      </c>
      <c r="U114" s="44">
        <f>IF(Table1[[#This Row],[Initials]]="RM",$AE$10,IF(Table1[[#This Row],[Initials]]="JPH",$AE$11,IF(Table1[[#This Row],[Initials]]="IE",$AE$13,IF(Table1[[#This Row],[Initials]]="JM",$AE$14,1))))</f>
        <v>0.5</v>
      </c>
      <c r="V114" s="3">
        <f>Table1[[#This Row],[FTE %]]*Table1[[#This Row],[Time Worked]]</f>
        <v>4.5</v>
      </c>
      <c r="W1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114" s="38">
        <f t="shared" si="14"/>
        <v>0</v>
      </c>
      <c r="Y114" s="18">
        <f t="shared" si="15"/>
        <v>557.37</v>
      </c>
    </row>
    <row r="115" spans="1:25" x14ac:dyDescent="0.25">
      <c r="A115" s="10">
        <f t="shared" si="8"/>
        <v>114</v>
      </c>
      <c r="B115" s="6" t="str">
        <f t="shared" si="9"/>
        <v>8820192636JM</v>
      </c>
      <c r="C115" s="1">
        <v>11168</v>
      </c>
      <c r="D115" s="1" t="s">
        <v>1036</v>
      </c>
      <c r="E115" s="53" t="str">
        <f t="shared" si="10"/>
        <v>External</v>
      </c>
      <c r="F115" s="1">
        <v>2636</v>
      </c>
      <c r="G115" s="37" t="str">
        <f>VLOOKUP(Table1[[#This Row],[WO'#]],Table2[#All],2,FALSE)</f>
        <v>2019 Preservation Grant</v>
      </c>
      <c r="H115" s="20">
        <v>43707</v>
      </c>
      <c r="I115" s="2">
        <v>43685</v>
      </c>
      <c r="J115" s="4">
        <f t="shared" si="11"/>
        <v>8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0.5</v>
      </c>
      <c r="Q115" s="3">
        <f t="shared" si="12"/>
        <v>0.5</v>
      </c>
      <c r="R115" s="1" t="s">
        <v>972</v>
      </c>
      <c r="S115" s="1" t="s">
        <v>23</v>
      </c>
      <c r="T115" s="3">
        <f t="shared" si="13"/>
        <v>0.5</v>
      </c>
      <c r="U115" s="44">
        <f>IF(Table1[[#This Row],[Initials]]="RM",$AE$10,IF(Table1[[#This Row],[Initials]]="JPH",$AE$11,IF(Table1[[#This Row],[Initials]]="IE",$AE$13,IF(Table1[[#This Row],[Initials]]="JM",$AE$14,1))))</f>
        <v>0.39500000000000002</v>
      </c>
      <c r="V115" s="3">
        <f>Table1[[#This Row],[FTE %]]*Table1[[#This Row],[Time Worked]]</f>
        <v>0.19750000000000001</v>
      </c>
      <c r="W1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15" s="38">
        <f t="shared" si="14"/>
        <v>0</v>
      </c>
      <c r="Y115" s="18">
        <f t="shared" si="15"/>
        <v>30.965</v>
      </c>
    </row>
    <row r="116" spans="1:25" x14ac:dyDescent="0.25">
      <c r="A116" s="10">
        <f t="shared" si="8"/>
        <v>115</v>
      </c>
      <c r="B116" s="6" t="str">
        <f t="shared" si="9"/>
        <v>8920192636JM</v>
      </c>
      <c r="C116" s="1">
        <v>11168</v>
      </c>
      <c r="D116" s="1" t="s">
        <v>1036</v>
      </c>
      <c r="E116" s="53" t="str">
        <f t="shared" si="10"/>
        <v>External</v>
      </c>
      <c r="F116" s="1">
        <v>2636</v>
      </c>
      <c r="G116" s="37" t="str">
        <f>VLOOKUP(Table1[[#This Row],[WO'#]],Table2[#All],2,FALSE)</f>
        <v>2019 Preservation Grant</v>
      </c>
      <c r="H116" s="20">
        <v>43707</v>
      </c>
      <c r="I116" s="2">
        <v>43686</v>
      </c>
      <c r="J116" s="4">
        <f t="shared" si="11"/>
        <v>9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0.5</v>
      </c>
      <c r="Q116" s="3">
        <f t="shared" si="12"/>
        <v>0.5</v>
      </c>
      <c r="R116" s="1" t="s">
        <v>972</v>
      </c>
      <c r="S116" s="1" t="s">
        <v>23</v>
      </c>
      <c r="T116" s="3">
        <f t="shared" si="13"/>
        <v>0.5</v>
      </c>
      <c r="U116" s="44">
        <f>IF(Table1[[#This Row],[Initials]]="RM",$AE$10,IF(Table1[[#This Row],[Initials]]="JPH",$AE$11,IF(Table1[[#This Row],[Initials]]="IE",$AE$13,IF(Table1[[#This Row],[Initials]]="JM",$AE$14,1))))</f>
        <v>0.39500000000000002</v>
      </c>
      <c r="V116" s="3">
        <f>Table1[[#This Row],[FTE %]]*Table1[[#This Row],[Time Worked]]</f>
        <v>0.19750000000000001</v>
      </c>
      <c r="W1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16" s="38">
        <f t="shared" si="14"/>
        <v>0</v>
      </c>
      <c r="Y116" s="18">
        <f t="shared" si="15"/>
        <v>30.965</v>
      </c>
    </row>
    <row r="117" spans="1:25" x14ac:dyDescent="0.25">
      <c r="A117" s="10">
        <f t="shared" si="8"/>
        <v>116</v>
      </c>
      <c r="B117" s="6" t="str">
        <f t="shared" si="9"/>
        <v>81320192636JM</v>
      </c>
      <c r="C117" s="1">
        <v>11168</v>
      </c>
      <c r="D117" s="1" t="s">
        <v>1036</v>
      </c>
      <c r="E117" s="53" t="str">
        <f t="shared" si="10"/>
        <v>External</v>
      </c>
      <c r="F117" s="1">
        <v>2636</v>
      </c>
      <c r="G117" s="37" t="str">
        <f>VLOOKUP(Table1[[#This Row],[WO'#]],Table2[#All],2,FALSE)</f>
        <v>2019 Preservation Grant</v>
      </c>
      <c r="H117" s="20">
        <v>43707</v>
      </c>
      <c r="I117" s="2">
        <v>43690</v>
      </c>
      <c r="J117" s="4">
        <f t="shared" si="11"/>
        <v>13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0.25</v>
      </c>
      <c r="Q117" s="3">
        <f t="shared" si="12"/>
        <v>0.25</v>
      </c>
      <c r="R117" s="1" t="s">
        <v>972</v>
      </c>
      <c r="S117" s="1" t="s">
        <v>23</v>
      </c>
      <c r="T117" s="3">
        <f t="shared" si="13"/>
        <v>0.25</v>
      </c>
      <c r="U117" s="44">
        <f>IF(Table1[[#This Row],[Initials]]="RM",$AE$10,IF(Table1[[#This Row],[Initials]]="JPH",$AE$11,IF(Table1[[#This Row],[Initials]]="IE",$AE$13,IF(Table1[[#This Row],[Initials]]="JM",$AE$14,1))))</f>
        <v>0.39500000000000002</v>
      </c>
      <c r="V117" s="3">
        <f>Table1[[#This Row],[FTE %]]*Table1[[#This Row],[Time Worked]]</f>
        <v>9.8750000000000004E-2</v>
      </c>
      <c r="W1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17" s="38">
        <f t="shared" si="14"/>
        <v>0</v>
      </c>
      <c r="Y117" s="18">
        <f t="shared" si="15"/>
        <v>15.4825</v>
      </c>
    </row>
    <row r="118" spans="1:25" x14ac:dyDescent="0.25">
      <c r="A118" s="10">
        <f t="shared" si="8"/>
        <v>117</v>
      </c>
      <c r="B118" s="6" t="str">
        <f t="shared" si="9"/>
        <v>81620192636JM</v>
      </c>
      <c r="C118" s="1">
        <v>11168</v>
      </c>
      <c r="D118" s="1" t="s">
        <v>1036</v>
      </c>
      <c r="E118" s="53" t="str">
        <f t="shared" si="10"/>
        <v>External</v>
      </c>
      <c r="F118" s="1">
        <v>2636</v>
      </c>
      <c r="G118" s="37" t="str">
        <f>VLOOKUP(Table1[[#This Row],[WO'#]],Table2[#All],2,FALSE)</f>
        <v>2019 Preservation Grant</v>
      </c>
      <c r="H118" s="20">
        <v>43707</v>
      </c>
      <c r="I118" s="2">
        <v>43693</v>
      </c>
      <c r="J118" s="4">
        <f t="shared" si="11"/>
        <v>16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1</v>
      </c>
      <c r="Q118" s="3">
        <f t="shared" si="12"/>
        <v>1</v>
      </c>
      <c r="R118" s="1" t="s">
        <v>972</v>
      </c>
      <c r="S118" s="1" t="s">
        <v>23</v>
      </c>
      <c r="T118" s="3">
        <f t="shared" si="13"/>
        <v>1</v>
      </c>
      <c r="U118" s="44">
        <f>IF(Table1[[#This Row],[Initials]]="RM",$AE$10,IF(Table1[[#This Row],[Initials]]="JPH",$AE$11,IF(Table1[[#This Row],[Initials]]="IE",$AE$13,IF(Table1[[#This Row],[Initials]]="JM",$AE$14,1))))</f>
        <v>0.39500000000000002</v>
      </c>
      <c r="V118" s="3">
        <f>Table1[[#This Row],[FTE %]]*Table1[[#This Row],[Time Worked]]</f>
        <v>0.39500000000000002</v>
      </c>
      <c r="W1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18" s="38">
        <f t="shared" si="14"/>
        <v>0</v>
      </c>
      <c r="Y118" s="18">
        <f t="shared" si="15"/>
        <v>61.93</v>
      </c>
    </row>
    <row r="119" spans="1:25" x14ac:dyDescent="0.25">
      <c r="A119" s="10">
        <f t="shared" si="8"/>
        <v>118</v>
      </c>
      <c r="B119" s="6" t="str">
        <f t="shared" si="9"/>
        <v>82320192636JM</v>
      </c>
      <c r="C119" s="1">
        <v>11168</v>
      </c>
      <c r="D119" s="1" t="s">
        <v>1036</v>
      </c>
      <c r="E119" s="53" t="str">
        <f t="shared" si="10"/>
        <v>External</v>
      </c>
      <c r="F119" s="1">
        <v>2636</v>
      </c>
      <c r="G119" s="37" t="str">
        <f>VLOOKUP(Table1[[#This Row],[WO'#]],Table2[#All],2,FALSE)</f>
        <v>2019 Preservation Grant</v>
      </c>
      <c r="H119" s="20">
        <v>43707</v>
      </c>
      <c r="I119" s="2">
        <v>43700</v>
      </c>
      <c r="J119" s="4">
        <f t="shared" si="11"/>
        <v>23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1</v>
      </c>
      <c r="Q119" s="3">
        <f t="shared" si="12"/>
        <v>1</v>
      </c>
      <c r="R119" s="1" t="s">
        <v>972</v>
      </c>
      <c r="S119" s="1" t="s">
        <v>23</v>
      </c>
      <c r="T119" s="3">
        <f t="shared" si="13"/>
        <v>1</v>
      </c>
      <c r="U119" s="44">
        <f>IF(Table1[[#This Row],[Initials]]="RM",$AE$10,IF(Table1[[#This Row],[Initials]]="JPH",$AE$11,IF(Table1[[#This Row],[Initials]]="IE",$AE$13,IF(Table1[[#This Row],[Initials]]="JM",$AE$14,1))))</f>
        <v>0.39500000000000002</v>
      </c>
      <c r="V119" s="3">
        <f>Table1[[#This Row],[FTE %]]*Table1[[#This Row],[Time Worked]]</f>
        <v>0.39500000000000002</v>
      </c>
      <c r="W1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19" s="38">
        <f t="shared" si="14"/>
        <v>0</v>
      </c>
      <c r="Y119" s="18">
        <f t="shared" si="15"/>
        <v>61.93</v>
      </c>
    </row>
    <row r="120" spans="1:25" x14ac:dyDescent="0.25">
      <c r="A120" s="10">
        <f t="shared" si="8"/>
        <v>119</v>
      </c>
      <c r="B120" s="6" t="str">
        <f t="shared" si="9"/>
        <v>82820192636BOGD</v>
      </c>
      <c r="C120" s="1">
        <v>11168</v>
      </c>
      <c r="D120" s="1" t="s">
        <v>1036</v>
      </c>
      <c r="E120" s="53" t="str">
        <f t="shared" si="10"/>
        <v>External</v>
      </c>
      <c r="F120" s="1">
        <v>2636</v>
      </c>
      <c r="G120" s="37" t="str">
        <f>VLOOKUP(Table1[[#This Row],[WO'#]],Table2[#All],2,FALSE)</f>
        <v>2019 Preservation Grant</v>
      </c>
      <c r="H120" s="20">
        <v>43707</v>
      </c>
      <c r="I120" s="2">
        <v>43705</v>
      </c>
      <c r="J120" s="4">
        <f t="shared" si="11"/>
        <v>28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-0.15559999999999999</v>
      </c>
      <c r="Q120" s="3">
        <f t="shared" si="12"/>
        <v>-0.15559999999999999</v>
      </c>
      <c r="R120" s="1" t="s">
        <v>108</v>
      </c>
      <c r="S120" s="1" t="s">
        <v>23</v>
      </c>
      <c r="T120" s="3">
        <f t="shared" si="13"/>
        <v>-0.15559999999999999</v>
      </c>
      <c r="U120" s="44">
        <f>IF(Table1[[#This Row],[Initials]]="RM",$AE$10,IF(Table1[[#This Row],[Initials]]="JPH",$AE$11,IF(Table1[[#This Row],[Initials]]="IE",$AE$13,IF(Table1[[#This Row],[Initials]]="JM",$AE$14,1))))</f>
        <v>1</v>
      </c>
      <c r="V120" s="3">
        <f>Table1[[#This Row],[FTE %]]*Table1[[#This Row],[Time Worked]]</f>
        <v>-0.15559999999999999</v>
      </c>
      <c r="W1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-9.6363079999999997</v>
      </c>
      <c r="X120" s="38">
        <f t="shared" si="14"/>
        <v>0</v>
      </c>
      <c r="Y120" s="18">
        <f t="shared" si="15"/>
        <v>-9.6363079999999997</v>
      </c>
    </row>
    <row r="121" spans="1:25" x14ac:dyDescent="0.25">
      <c r="A121" s="10">
        <f t="shared" si="8"/>
        <v>120</v>
      </c>
      <c r="B121" s="6" t="str">
        <f t="shared" si="9"/>
        <v>82820192636RM</v>
      </c>
      <c r="C121" s="1">
        <v>11168</v>
      </c>
      <c r="D121" s="1" t="s">
        <v>1036</v>
      </c>
      <c r="E121" s="53" t="str">
        <f t="shared" si="10"/>
        <v>External</v>
      </c>
      <c r="F121" s="1">
        <v>2636</v>
      </c>
      <c r="G121" s="37" t="str">
        <f>VLOOKUP(Table1[[#This Row],[WO'#]],Table2[#All],2,FALSE)</f>
        <v>2019 Preservation Grant</v>
      </c>
      <c r="H121" s="20">
        <v>43707</v>
      </c>
      <c r="I121" s="2">
        <v>43705</v>
      </c>
      <c r="J121" s="4">
        <f t="shared" si="11"/>
        <v>28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5</v>
      </c>
      <c r="Q121" s="3">
        <f t="shared" si="12"/>
        <v>5</v>
      </c>
      <c r="R121" s="1" t="s">
        <v>17</v>
      </c>
      <c r="S121" s="1" t="s">
        <v>23</v>
      </c>
      <c r="T121" s="3">
        <f t="shared" si="13"/>
        <v>5</v>
      </c>
      <c r="U121" s="44">
        <f>IF(Table1[[#This Row],[Initials]]="RM",$AE$10,IF(Table1[[#This Row],[Initials]]="JPH",$AE$11,IF(Table1[[#This Row],[Initials]]="IE",$AE$13,IF(Table1[[#This Row],[Initials]]="JM",$AE$14,1))))</f>
        <v>0.5</v>
      </c>
      <c r="V121" s="3">
        <f>Table1[[#This Row],[FTE %]]*Table1[[#This Row],[Time Worked]]</f>
        <v>2.5</v>
      </c>
      <c r="W1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21" s="38">
        <f t="shared" si="14"/>
        <v>0</v>
      </c>
      <c r="Y121" s="18">
        <f t="shared" si="15"/>
        <v>309.64999999999998</v>
      </c>
    </row>
    <row r="122" spans="1:25" x14ac:dyDescent="0.25">
      <c r="A122" s="10">
        <f t="shared" si="8"/>
        <v>121</v>
      </c>
      <c r="B122" s="6" t="str">
        <f t="shared" si="9"/>
        <v>82920192595IE</v>
      </c>
      <c r="C122" s="1">
        <v>11169</v>
      </c>
      <c r="D122" s="1" t="s">
        <v>1008</v>
      </c>
      <c r="E122" s="53" t="str">
        <f t="shared" si="10"/>
        <v>External</v>
      </c>
      <c r="F122" s="1">
        <v>2595</v>
      </c>
      <c r="G122" s="37" t="str">
        <f>VLOOKUP(Table1[[#This Row],[WO'#]],Table2[#All],2,FALSE)</f>
        <v>SM18 Granite Peak</v>
      </c>
      <c r="H122" s="20">
        <v>43707</v>
      </c>
      <c r="I122" s="2">
        <v>43706</v>
      </c>
      <c r="J122" s="4">
        <f t="shared" si="11"/>
        <v>29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1</v>
      </c>
      <c r="Q122" s="3">
        <f t="shared" si="12"/>
        <v>1</v>
      </c>
      <c r="R122" s="1" t="s">
        <v>971</v>
      </c>
      <c r="S122" s="1" t="s">
        <v>23</v>
      </c>
      <c r="T122" s="3">
        <f t="shared" si="13"/>
        <v>1</v>
      </c>
      <c r="U122" s="44">
        <f>IF(Table1[[#This Row],[Initials]]="RM",$AE$10,IF(Table1[[#This Row],[Initials]]="JPH",$AE$11,IF(Table1[[#This Row],[Initials]]="IE",$AE$13,IF(Table1[[#This Row],[Initials]]="JM",$AE$14,1))))</f>
        <v>1</v>
      </c>
      <c r="V122" s="3">
        <f>Table1[[#This Row],[FTE %]]*Table1[[#This Row],[Time Worked]]</f>
        <v>1</v>
      </c>
      <c r="W1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22" s="38">
        <f t="shared" si="14"/>
        <v>0</v>
      </c>
      <c r="Y122" s="18">
        <f t="shared" si="15"/>
        <v>61.93</v>
      </c>
    </row>
    <row r="123" spans="1:25" x14ac:dyDescent="0.25">
      <c r="A123" s="10">
        <f t="shared" si="8"/>
        <v>122</v>
      </c>
      <c r="B123" s="6" t="str">
        <f t="shared" si="9"/>
        <v>82820192606IE</v>
      </c>
      <c r="C123" s="1">
        <v>11169</v>
      </c>
      <c r="D123" s="1" t="s">
        <v>1007</v>
      </c>
      <c r="E123" s="53" t="str">
        <f t="shared" si="10"/>
        <v>External</v>
      </c>
      <c r="F123" s="1">
        <v>2606</v>
      </c>
      <c r="G123" s="37" t="str">
        <f>VLOOKUP(Table1[[#This Row],[WO'#]],Table2[#All],2,FALSE)</f>
        <v>SM18 Independence Valley</v>
      </c>
      <c r="H123" s="20">
        <v>43707</v>
      </c>
      <c r="I123" s="2">
        <v>43705</v>
      </c>
      <c r="J123" s="4">
        <f t="shared" si="11"/>
        <v>28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5</v>
      </c>
      <c r="Q123" s="3">
        <f t="shared" si="12"/>
        <v>5</v>
      </c>
      <c r="R123" s="1" t="s">
        <v>971</v>
      </c>
      <c r="S123" s="1" t="s">
        <v>23</v>
      </c>
      <c r="T123" s="3">
        <f t="shared" si="13"/>
        <v>5</v>
      </c>
      <c r="U123" s="44">
        <f>IF(Table1[[#This Row],[Initials]]="RM",$AE$10,IF(Table1[[#This Row],[Initials]]="JPH",$AE$11,IF(Table1[[#This Row],[Initials]]="IE",$AE$13,IF(Table1[[#This Row],[Initials]]="JM",$AE$14,1))))</f>
        <v>1</v>
      </c>
      <c r="V123" s="3">
        <f>Table1[[#This Row],[FTE %]]*Table1[[#This Row],[Time Worked]]</f>
        <v>5</v>
      </c>
      <c r="W1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23" s="38">
        <f t="shared" si="14"/>
        <v>0</v>
      </c>
      <c r="Y123" s="18">
        <f t="shared" si="15"/>
        <v>309.64999999999998</v>
      </c>
    </row>
    <row r="124" spans="1:25" x14ac:dyDescent="0.25">
      <c r="A124" s="10">
        <f t="shared" si="8"/>
        <v>123</v>
      </c>
      <c r="B124" s="6" t="str">
        <f t="shared" si="9"/>
        <v>82920192606IE</v>
      </c>
      <c r="C124" s="1">
        <v>11169</v>
      </c>
      <c r="D124" s="1" t="s">
        <v>1007</v>
      </c>
      <c r="E124" s="53" t="str">
        <f t="shared" si="10"/>
        <v>External</v>
      </c>
      <c r="F124" s="1">
        <v>2606</v>
      </c>
      <c r="G124" s="37" t="str">
        <f>VLOOKUP(Table1[[#This Row],[WO'#]],Table2[#All],2,FALSE)</f>
        <v>SM18 Independence Valley</v>
      </c>
      <c r="H124" s="20">
        <v>43707</v>
      </c>
      <c r="I124" s="2">
        <v>43706</v>
      </c>
      <c r="J124" s="4">
        <f t="shared" si="11"/>
        <v>29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6</v>
      </c>
      <c r="Q124" s="3">
        <f t="shared" si="12"/>
        <v>6</v>
      </c>
      <c r="R124" s="1" t="s">
        <v>971</v>
      </c>
      <c r="S124" s="1" t="s">
        <v>23</v>
      </c>
      <c r="T124" s="3">
        <f t="shared" si="13"/>
        <v>6</v>
      </c>
      <c r="U124" s="44">
        <f>IF(Table1[[#This Row],[Initials]]="RM",$AE$10,IF(Table1[[#This Row],[Initials]]="JPH",$AE$11,IF(Table1[[#This Row],[Initials]]="IE",$AE$13,IF(Table1[[#This Row],[Initials]]="JM",$AE$14,1))))</f>
        <v>1</v>
      </c>
      <c r="V124" s="3">
        <f>Table1[[#This Row],[FTE %]]*Table1[[#This Row],[Time Worked]]</f>
        <v>6</v>
      </c>
      <c r="W1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124" s="38">
        <f t="shared" si="14"/>
        <v>0</v>
      </c>
      <c r="Y124" s="18">
        <f t="shared" si="15"/>
        <v>371.58</v>
      </c>
    </row>
    <row r="125" spans="1:25" x14ac:dyDescent="0.25">
      <c r="A125" s="10">
        <f t="shared" si="8"/>
        <v>124</v>
      </c>
      <c r="B125" s="6" t="str">
        <f t="shared" si="9"/>
        <v>82620192590IE</v>
      </c>
      <c r="C125" s="1">
        <v>11170</v>
      </c>
      <c r="D125" s="1" t="s">
        <v>1025</v>
      </c>
      <c r="E125" s="53" t="str">
        <f t="shared" si="10"/>
        <v>External</v>
      </c>
      <c r="F125" s="1">
        <v>2590</v>
      </c>
      <c r="G125" s="37" t="str">
        <f>VLOOKUP(Table1[[#This Row],[WO'#]],Table2[#All],2,FALSE)</f>
        <v>Forge Geologic Map</v>
      </c>
      <c r="H125" s="20">
        <v>43707</v>
      </c>
      <c r="I125" s="2">
        <v>43703</v>
      </c>
      <c r="J125" s="4">
        <f t="shared" si="11"/>
        <v>26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1</v>
      </c>
      <c r="Q125" s="3">
        <f t="shared" si="12"/>
        <v>1</v>
      </c>
      <c r="R125" s="1" t="s">
        <v>971</v>
      </c>
      <c r="S125" s="1" t="s">
        <v>23</v>
      </c>
      <c r="T125" s="3">
        <f t="shared" si="13"/>
        <v>1</v>
      </c>
      <c r="U125" s="44">
        <f>IF(Table1[[#This Row],[Initials]]="RM",$AE$10,IF(Table1[[#This Row],[Initials]]="JPH",$AE$11,IF(Table1[[#This Row],[Initials]]="IE",$AE$13,IF(Table1[[#This Row],[Initials]]="JM",$AE$14,1))))</f>
        <v>1</v>
      </c>
      <c r="V125" s="3">
        <f>Table1[[#This Row],[FTE %]]*Table1[[#This Row],[Time Worked]]</f>
        <v>1</v>
      </c>
      <c r="W1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25" s="38">
        <f t="shared" si="14"/>
        <v>0</v>
      </c>
      <c r="Y125" s="18">
        <f t="shared" si="15"/>
        <v>61.93</v>
      </c>
    </row>
    <row r="126" spans="1:25" x14ac:dyDescent="0.25">
      <c r="A126" s="10">
        <f t="shared" si="8"/>
        <v>125</v>
      </c>
      <c r="B126" s="6" t="str">
        <f t="shared" si="9"/>
        <v>82620192590RM</v>
      </c>
      <c r="C126" s="1">
        <v>11170</v>
      </c>
      <c r="D126" s="1" t="s">
        <v>1025</v>
      </c>
      <c r="E126" s="53" t="str">
        <f t="shared" si="10"/>
        <v>External</v>
      </c>
      <c r="F126" s="1">
        <v>2590</v>
      </c>
      <c r="G126" s="37" t="str">
        <f>VLOOKUP(Table1[[#This Row],[WO'#]],Table2[#All],2,FALSE)</f>
        <v>Forge Geologic Map</v>
      </c>
      <c r="H126" s="20">
        <v>43707</v>
      </c>
      <c r="I126" s="2">
        <v>43703</v>
      </c>
      <c r="J126" s="4">
        <f t="shared" si="11"/>
        <v>26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0.25</v>
      </c>
      <c r="Q126" s="3">
        <f t="shared" si="12"/>
        <v>0.25</v>
      </c>
      <c r="R126" s="1" t="s">
        <v>17</v>
      </c>
      <c r="S126" s="1" t="s">
        <v>23</v>
      </c>
      <c r="T126" s="3">
        <f t="shared" si="13"/>
        <v>0.25</v>
      </c>
      <c r="U126" s="44">
        <f>IF(Table1[[#This Row],[Initials]]="RM",$AE$10,IF(Table1[[#This Row],[Initials]]="JPH",$AE$11,IF(Table1[[#This Row],[Initials]]="IE",$AE$13,IF(Table1[[#This Row],[Initials]]="JM",$AE$14,1))))</f>
        <v>0.5</v>
      </c>
      <c r="V126" s="3">
        <f>Table1[[#This Row],[FTE %]]*Table1[[#This Row],[Time Worked]]</f>
        <v>0.125</v>
      </c>
      <c r="W1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26" s="38">
        <f t="shared" si="14"/>
        <v>0</v>
      </c>
      <c r="Y126" s="18">
        <f t="shared" si="15"/>
        <v>15.4825</v>
      </c>
    </row>
    <row r="127" spans="1:25" x14ac:dyDescent="0.25">
      <c r="A127" s="10">
        <f t="shared" si="8"/>
        <v>126</v>
      </c>
      <c r="B127" s="6" t="str">
        <f t="shared" si="9"/>
        <v>82720192590IE</v>
      </c>
      <c r="C127" s="1">
        <v>11170</v>
      </c>
      <c r="D127" s="1" t="s">
        <v>1025</v>
      </c>
      <c r="E127" s="53" t="str">
        <f t="shared" si="10"/>
        <v>External</v>
      </c>
      <c r="F127" s="1">
        <v>2590</v>
      </c>
      <c r="G127" s="37" t="str">
        <f>VLOOKUP(Table1[[#This Row],[WO'#]],Table2[#All],2,FALSE)</f>
        <v>Forge Geologic Map</v>
      </c>
      <c r="H127" s="20">
        <v>43707</v>
      </c>
      <c r="I127" s="2">
        <v>43704</v>
      </c>
      <c r="J127" s="4">
        <f t="shared" si="11"/>
        <v>27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6.25</v>
      </c>
      <c r="Q127" s="3">
        <f t="shared" si="12"/>
        <v>6.25</v>
      </c>
      <c r="R127" s="1" t="s">
        <v>971</v>
      </c>
      <c r="S127" s="1" t="s">
        <v>23</v>
      </c>
      <c r="T127" s="3">
        <f t="shared" si="13"/>
        <v>6.25</v>
      </c>
      <c r="U127" s="44">
        <f>IF(Table1[[#This Row],[Initials]]="RM",$AE$10,IF(Table1[[#This Row],[Initials]]="JPH",$AE$11,IF(Table1[[#This Row],[Initials]]="IE",$AE$13,IF(Table1[[#This Row],[Initials]]="JM",$AE$14,1))))</f>
        <v>1</v>
      </c>
      <c r="V127" s="3">
        <f>Table1[[#This Row],[FTE %]]*Table1[[#This Row],[Time Worked]]</f>
        <v>6.25</v>
      </c>
      <c r="W1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387.0625</v>
      </c>
      <c r="X127" s="38">
        <f t="shared" si="14"/>
        <v>0</v>
      </c>
      <c r="Y127" s="18">
        <f t="shared" si="15"/>
        <v>387.0625</v>
      </c>
    </row>
    <row r="128" spans="1:25" x14ac:dyDescent="0.25">
      <c r="A128" s="10">
        <f t="shared" si="8"/>
        <v>127</v>
      </c>
      <c r="B128" s="6" t="str">
        <f t="shared" si="9"/>
        <v>82820192590IE</v>
      </c>
      <c r="C128" s="1">
        <v>11170</v>
      </c>
      <c r="D128" s="1" t="s">
        <v>1025</v>
      </c>
      <c r="E128" s="53" t="str">
        <f t="shared" si="10"/>
        <v>External</v>
      </c>
      <c r="F128" s="1">
        <v>2590</v>
      </c>
      <c r="G128" s="37" t="str">
        <f>VLOOKUP(Table1[[#This Row],[WO'#]],Table2[#All],2,FALSE)</f>
        <v>Forge Geologic Map</v>
      </c>
      <c r="H128" s="20">
        <v>43707</v>
      </c>
      <c r="I128" s="2">
        <v>43705</v>
      </c>
      <c r="J128" s="4">
        <f t="shared" si="11"/>
        <v>28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5</v>
      </c>
      <c r="Q128" s="3">
        <f t="shared" si="12"/>
        <v>5</v>
      </c>
      <c r="R128" s="1" t="s">
        <v>971</v>
      </c>
      <c r="S128" s="1" t="s">
        <v>23</v>
      </c>
      <c r="T128" s="3">
        <f t="shared" si="13"/>
        <v>5</v>
      </c>
      <c r="U128" s="44">
        <f>IF(Table1[[#This Row],[Initials]]="RM",$AE$10,IF(Table1[[#This Row],[Initials]]="JPH",$AE$11,IF(Table1[[#This Row],[Initials]]="IE",$AE$13,IF(Table1[[#This Row],[Initials]]="JM",$AE$14,1))))</f>
        <v>1</v>
      </c>
      <c r="V128" s="3">
        <f>Table1[[#This Row],[FTE %]]*Table1[[#This Row],[Time Worked]]</f>
        <v>5</v>
      </c>
      <c r="W1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28" s="38">
        <f t="shared" si="14"/>
        <v>0</v>
      </c>
      <c r="Y128" s="18">
        <f t="shared" si="15"/>
        <v>309.64999999999998</v>
      </c>
    </row>
    <row r="129" spans="1:25" x14ac:dyDescent="0.25">
      <c r="A129" s="10">
        <f t="shared" si="8"/>
        <v>128</v>
      </c>
      <c r="B129" s="6" t="str">
        <f t="shared" si="9"/>
        <v>82920192590IE</v>
      </c>
      <c r="C129" s="1">
        <v>11170</v>
      </c>
      <c r="D129" s="1" t="s">
        <v>1025</v>
      </c>
      <c r="E129" s="53" t="str">
        <f t="shared" si="10"/>
        <v>External</v>
      </c>
      <c r="F129" s="1">
        <v>2590</v>
      </c>
      <c r="G129" s="37" t="str">
        <f>VLOOKUP(Table1[[#This Row],[WO'#]],Table2[#All],2,FALSE)</f>
        <v>Forge Geologic Map</v>
      </c>
      <c r="H129" s="20">
        <v>43707</v>
      </c>
      <c r="I129" s="2">
        <v>43706</v>
      </c>
      <c r="J129" s="4">
        <f t="shared" si="11"/>
        <v>29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3</v>
      </c>
      <c r="Q129" s="3">
        <f t="shared" si="12"/>
        <v>3</v>
      </c>
      <c r="R129" s="1" t="s">
        <v>971</v>
      </c>
      <c r="S129" s="1" t="s">
        <v>23</v>
      </c>
      <c r="T129" s="3">
        <f t="shared" si="13"/>
        <v>3</v>
      </c>
      <c r="U129" s="44">
        <f>IF(Table1[[#This Row],[Initials]]="RM",$AE$10,IF(Table1[[#This Row],[Initials]]="JPH",$AE$11,IF(Table1[[#This Row],[Initials]]="IE",$AE$13,IF(Table1[[#This Row],[Initials]]="JM",$AE$14,1))))</f>
        <v>1</v>
      </c>
      <c r="V129" s="3">
        <f>Table1[[#This Row],[FTE %]]*Table1[[#This Row],[Time Worked]]</f>
        <v>3</v>
      </c>
      <c r="W1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29" s="38">
        <f t="shared" si="14"/>
        <v>0</v>
      </c>
      <c r="Y129" s="18">
        <f t="shared" si="15"/>
        <v>185.79</v>
      </c>
    </row>
    <row r="130" spans="1:25" x14ac:dyDescent="0.25">
      <c r="A130" s="10">
        <f t="shared" ref="A130:A193" si="16">IF(IFERROR(A129+1,1)=1,1,A129+1)</f>
        <v>129</v>
      </c>
      <c r="B130" s="6" t="str">
        <f t="shared" ref="B130:B193" si="17">IF(I130="","",CONCATENATE(MONTH(I130),DAY(I130),YEAR(I130),F130,R130))</f>
        <v>81320192652JM</v>
      </c>
      <c r="C130" s="1">
        <v>11171</v>
      </c>
      <c r="D130" s="1" t="s">
        <v>1037</v>
      </c>
      <c r="E130" s="53" t="str">
        <f t="shared" ref="E130:E193" si="18">IF(ISNUMBER(FIND("GR",D130)),"External",IF(C130="NB","Unbilled",IF(AND(C130="Admin",F130=2642),"Annual",IF(AND(C130="Admin",F130=2643),"Comp",IF(AND(C130="Admin",F130=2640),"FMLA",IF(AND(C130="Admin",F130=2644),"Holiday",IF(AND(C130="Admin",F130=2646),"Sick",IF(AND(C130="Admin",F130=2645),"LWOP",IF(C130="Match","Match",IF(C130="WO","Write Off","Internal"))))))))))</f>
        <v>External</v>
      </c>
      <c r="F130" s="1">
        <v>2652</v>
      </c>
      <c r="G130" s="37" t="str">
        <f>VLOOKUP(Table1[[#This Row],[WO'#]],Table2[#All],2,FALSE)</f>
        <v>Major Mines 2018</v>
      </c>
      <c r="H130" s="20">
        <v>43707</v>
      </c>
      <c r="I130" s="2">
        <v>43690</v>
      </c>
      <c r="J130" s="4">
        <f t="shared" ref="J130:J193" si="19">IF(I130="","",DAY(I130))</f>
        <v>13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0.5</v>
      </c>
      <c r="Q130" s="3">
        <f t="shared" ref="Q130:Q193" si="20">SUM(K130:P130)</f>
        <v>0.5</v>
      </c>
      <c r="R130" s="1" t="s">
        <v>972</v>
      </c>
      <c r="S130" s="1" t="s">
        <v>23</v>
      </c>
      <c r="T130" s="3">
        <f t="shared" ref="T130:T193" si="21">IF(R130="","",IF(OR(C130="WO",C130="Match",C130="NB",C130="Admin"),0,SUM(K130:P130)))</f>
        <v>0.5</v>
      </c>
      <c r="U130" s="44">
        <f>IF(Table1[[#This Row],[Initials]]="RM",$AE$10,IF(Table1[[#This Row],[Initials]]="JPH",$AE$11,IF(Table1[[#This Row],[Initials]]="IE",$AE$13,IF(Table1[[#This Row],[Initials]]="JM",$AE$14,1))))</f>
        <v>0.39500000000000002</v>
      </c>
      <c r="V130" s="3">
        <f>Table1[[#This Row],[FTE %]]*Table1[[#This Row],[Time Worked]]</f>
        <v>0.19750000000000001</v>
      </c>
      <c r="W1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30" s="38">
        <f t="shared" ref="X130:X193" si="22">IF(R130="","",IF(OR(C130="Match",C130="Write Off",C130&lt;&gt;"NB",C130="Admin"),0,IF(OR(R130="BOGD",R130="BOGC",R130="BLGDB",R130="BLGCR"),IF(AND(I130&gt;=$AE$3,I130&lt;=$AF$3),P130*$AD$3,IF(AND(I130&gt;=$AE$4,I130&lt;=$AF$4),P130*$AD$4,IF(AND(I130&gt;=$AE$5,I130&lt;=$AF$5),P130*$AD$5,IF(AND(I130&gt;=$AE$6,I130&lt;=$AF$6),P130*$AD$6,P130*$AD$7)))),IF(AND(I130&gt;=$AE$3,I130&lt;=$AF$3),Q130*$AD$3,IF(AND(I130&gt;=$AE$4,I130&lt;=$AF$4),Q130*$AD$4,IF(AND(I130&gt;=$AE$5,I130&lt;=$AF$5),Q130*$AD$5,IF(AND(I130&gt;=$AE$6,I130&lt;=$AF$6),Q130*$AD$6,Q130*$AD$7)))))))</f>
        <v>0</v>
      </c>
      <c r="Y130" s="18">
        <f t="shared" ref="Y130:Y193" si="23">IF(R130="","",IF(OR(C130="Match",C130="WO",C130="NB",C130="Admin"),0,IF(OR(R130="BOGD",R130="BOGC",R130="BLGDB",R130="BLGCR"),IF(AND(I130&gt;=$AE$3,I130&lt;=$AF$3),P130*$AD$3,IF(AND(I130&gt;=$AE$4,I130&lt;=$AF$4),P130*$AD$4,IF(AND(I130&gt;=$AE$5,I130&lt;=$AF$5),P130*$AD$5,IF(AND(I130&gt;=$AE$6,I130&lt;=$AF$6),P130*$AD$6,P130*$AD$7)))),IF(AND(I130&gt;=$AE$3,I130&lt;=$AF$3),Q130*$AD$3,IF(AND(I130&gt;=$AE$4,I130&lt;=$AF$4),Q130*$AD$4,IF(AND(I130&gt;=$AE$5,I130&lt;=$AF$5),Q130*$AD$5,IF(AND(I130&gt;=$AE$6,I130&lt;=$AF$6),Q130*$AD$6,Q130*$AD$7)))))))</f>
        <v>30.965</v>
      </c>
    </row>
    <row r="131" spans="1:25" x14ac:dyDescent="0.25">
      <c r="A131" s="10">
        <f t="shared" si="16"/>
        <v>130</v>
      </c>
      <c r="B131" s="6" t="str">
        <f t="shared" si="17"/>
        <v>81320192652JPH</v>
      </c>
      <c r="C131" s="1">
        <v>11171</v>
      </c>
      <c r="D131" s="1" t="s">
        <v>1037</v>
      </c>
      <c r="E131" s="53" t="str">
        <f t="shared" si="18"/>
        <v>External</v>
      </c>
      <c r="F131" s="1">
        <v>2652</v>
      </c>
      <c r="G131" s="37" t="str">
        <f>VLOOKUP(Table1[[#This Row],[WO'#]],Table2[#All],2,FALSE)</f>
        <v>Major Mines 2018</v>
      </c>
      <c r="H131" s="20">
        <v>43707</v>
      </c>
      <c r="I131" s="2">
        <v>43690</v>
      </c>
      <c r="J131" s="4">
        <f t="shared" si="19"/>
        <v>13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2.75</v>
      </c>
      <c r="Q131" s="3">
        <f t="shared" si="20"/>
        <v>2.75</v>
      </c>
      <c r="R131" s="1" t="s">
        <v>970</v>
      </c>
      <c r="S131" s="1" t="s">
        <v>23</v>
      </c>
      <c r="T131" s="3">
        <f t="shared" si="21"/>
        <v>2.75</v>
      </c>
      <c r="U131" s="44">
        <f>IF(Table1[[#This Row],[Initials]]="RM",$AE$10,IF(Table1[[#This Row],[Initials]]="JPH",$AE$11,IF(Table1[[#This Row],[Initials]]="IE",$AE$13,IF(Table1[[#This Row],[Initials]]="JM",$AE$14,1))))</f>
        <v>0.53</v>
      </c>
      <c r="V131" s="3">
        <f>Table1[[#This Row],[FTE %]]*Table1[[#This Row],[Time Worked]]</f>
        <v>1.4575</v>
      </c>
      <c r="W1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170.3075</v>
      </c>
      <c r="X131" s="38">
        <f t="shared" si="22"/>
        <v>0</v>
      </c>
      <c r="Y131" s="18">
        <f t="shared" si="23"/>
        <v>170.3075</v>
      </c>
    </row>
    <row r="132" spans="1:25" x14ac:dyDescent="0.25">
      <c r="A132" s="10">
        <f t="shared" si="16"/>
        <v>131</v>
      </c>
      <c r="B132" s="6" t="str">
        <f t="shared" si="17"/>
        <v>81420192652JPH</v>
      </c>
      <c r="C132" s="1">
        <v>11171</v>
      </c>
      <c r="D132" s="1" t="s">
        <v>1037</v>
      </c>
      <c r="E132" s="53" t="str">
        <f t="shared" si="18"/>
        <v>External</v>
      </c>
      <c r="F132" s="1">
        <v>2652</v>
      </c>
      <c r="G132" s="37" t="str">
        <f>VLOOKUP(Table1[[#This Row],[WO'#]],Table2[#All],2,FALSE)</f>
        <v>Major Mines 2018</v>
      </c>
      <c r="H132" s="20">
        <v>43707</v>
      </c>
      <c r="I132" s="2">
        <v>43691</v>
      </c>
      <c r="J132" s="4">
        <f t="shared" si="19"/>
        <v>14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4.25</v>
      </c>
      <c r="Q132" s="3">
        <f t="shared" si="20"/>
        <v>4.25</v>
      </c>
      <c r="R132" s="1" t="s">
        <v>970</v>
      </c>
      <c r="S132" s="1" t="s">
        <v>23</v>
      </c>
      <c r="T132" s="3">
        <f t="shared" si="21"/>
        <v>4.25</v>
      </c>
      <c r="U132" s="44">
        <f>IF(Table1[[#This Row],[Initials]]="RM",$AE$10,IF(Table1[[#This Row],[Initials]]="JPH",$AE$11,IF(Table1[[#This Row],[Initials]]="IE",$AE$13,IF(Table1[[#This Row],[Initials]]="JM",$AE$14,1))))</f>
        <v>0.53</v>
      </c>
      <c r="V132" s="3">
        <f>Table1[[#This Row],[FTE %]]*Table1[[#This Row],[Time Worked]]</f>
        <v>2.2524999999999999</v>
      </c>
      <c r="W1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132" s="38">
        <f t="shared" si="22"/>
        <v>0</v>
      </c>
      <c r="Y132" s="18">
        <f t="shared" si="23"/>
        <v>263.20249999999999</v>
      </c>
    </row>
    <row r="133" spans="1:25" x14ac:dyDescent="0.25">
      <c r="A133" s="10">
        <f t="shared" si="16"/>
        <v>132</v>
      </c>
      <c r="B133" s="6" t="str">
        <f t="shared" si="17"/>
        <v>82020192652JPH</v>
      </c>
      <c r="C133" s="1">
        <v>11171</v>
      </c>
      <c r="D133" s="1" t="s">
        <v>1037</v>
      </c>
      <c r="E133" s="53" t="str">
        <f t="shared" si="18"/>
        <v>External</v>
      </c>
      <c r="F133" s="1">
        <v>2652</v>
      </c>
      <c r="G133" s="37" t="str">
        <f>VLOOKUP(Table1[[#This Row],[WO'#]],Table2[#All],2,FALSE)</f>
        <v>Major Mines 2018</v>
      </c>
      <c r="H133" s="20">
        <v>43707</v>
      </c>
      <c r="I133" s="2">
        <v>43697</v>
      </c>
      <c r="J133" s="4">
        <f t="shared" si="19"/>
        <v>20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3</v>
      </c>
      <c r="Q133" s="3">
        <f t="shared" si="20"/>
        <v>3</v>
      </c>
      <c r="R133" s="1" t="s">
        <v>970</v>
      </c>
      <c r="S133" s="1" t="s">
        <v>23</v>
      </c>
      <c r="T133" s="3">
        <f t="shared" si="21"/>
        <v>3</v>
      </c>
      <c r="U133" s="44">
        <f>IF(Table1[[#This Row],[Initials]]="RM",$AE$10,IF(Table1[[#This Row],[Initials]]="JPH",$AE$11,IF(Table1[[#This Row],[Initials]]="IE",$AE$13,IF(Table1[[#This Row],[Initials]]="JM",$AE$14,1))))</f>
        <v>0.53</v>
      </c>
      <c r="V133" s="3">
        <f>Table1[[#This Row],[FTE %]]*Table1[[#This Row],[Time Worked]]</f>
        <v>1.59</v>
      </c>
      <c r="W1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33" s="38">
        <f t="shared" si="22"/>
        <v>0</v>
      </c>
      <c r="Y133" s="18">
        <f t="shared" si="23"/>
        <v>185.79</v>
      </c>
    </row>
    <row r="134" spans="1:25" x14ac:dyDescent="0.25">
      <c r="A134" s="10">
        <f t="shared" si="16"/>
        <v>133</v>
      </c>
      <c r="B134" s="6" t="str">
        <f t="shared" si="17"/>
        <v>71120192649IE</v>
      </c>
      <c r="C134" s="1">
        <v>11172</v>
      </c>
      <c r="D134" s="1" t="s">
        <v>1038</v>
      </c>
      <c r="E134" s="1" t="str">
        <f t="shared" si="18"/>
        <v>Internal</v>
      </c>
      <c r="F134" s="1">
        <v>2649</v>
      </c>
      <c r="G134" s="37" t="str">
        <f>VLOOKUP(Table1[[#This Row],[WO'#]],Table2[#All],2,FALSE)</f>
        <v>UNCE Programs Map</v>
      </c>
      <c r="H134" s="20">
        <v>43707</v>
      </c>
      <c r="I134" s="2">
        <v>43657</v>
      </c>
      <c r="J134" s="4">
        <f t="shared" si="19"/>
        <v>11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5</v>
      </c>
      <c r="Q134" s="3">
        <f t="shared" si="20"/>
        <v>5</v>
      </c>
      <c r="R134" s="1" t="s">
        <v>971</v>
      </c>
      <c r="S134" s="1" t="s">
        <v>23</v>
      </c>
      <c r="T134" s="3">
        <f t="shared" si="21"/>
        <v>5</v>
      </c>
      <c r="U134" s="44">
        <f>IF(Table1[[#This Row],[Initials]]="RM",$AE$10,IF(Table1[[#This Row],[Initials]]="JPH",$AE$11,IF(Table1[[#This Row],[Initials]]="IE",$AE$13,IF(Table1[[#This Row],[Initials]]="JM",$AE$14,1))))</f>
        <v>1</v>
      </c>
      <c r="V134" s="3">
        <f>Table1[[#This Row],[FTE %]]*Table1[[#This Row],[Time Worked]]</f>
        <v>5</v>
      </c>
      <c r="W1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34" s="38">
        <f t="shared" si="22"/>
        <v>0</v>
      </c>
      <c r="Y134" s="18">
        <f t="shared" si="23"/>
        <v>309.64999999999998</v>
      </c>
    </row>
    <row r="135" spans="1:25" x14ac:dyDescent="0.25">
      <c r="A135" s="10">
        <f t="shared" si="16"/>
        <v>134</v>
      </c>
      <c r="B135" s="6" t="str">
        <f t="shared" si="17"/>
        <v>71220192649IE</v>
      </c>
      <c r="C135" s="1">
        <v>11172</v>
      </c>
      <c r="D135" s="1" t="s">
        <v>1038</v>
      </c>
      <c r="E135" s="1" t="str">
        <f t="shared" si="18"/>
        <v>Internal</v>
      </c>
      <c r="F135" s="1">
        <v>2649</v>
      </c>
      <c r="G135" s="37" t="str">
        <f>VLOOKUP(Table1[[#This Row],[WO'#]],Table2[#All],2,FALSE)</f>
        <v>UNCE Programs Map</v>
      </c>
      <c r="H135" s="20">
        <v>43707</v>
      </c>
      <c r="I135" s="2">
        <v>43658</v>
      </c>
      <c r="J135" s="4">
        <f t="shared" si="19"/>
        <v>12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6</v>
      </c>
      <c r="Q135" s="3">
        <f t="shared" si="20"/>
        <v>6</v>
      </c>
      <c r="R135" s="1" t="s">
        <v>971</v>
      </c>
      <c r="S135" s="1" t="s">
        <v>23</v>
      </c>
      <c r="T135" s="3">
        <f t="shared" si="21"/>
        <v>6</v>
      </c>
      <c r="U135" s="44">
        <f>IF(Table1[[#This Row],[Initials]]="RM",$AE$10,IF(Table1[[#This Row],[Initials]]="JPH",$AE$11,IF(Table1[[#This Row],[Initials]]="IE",$AE$13,IF(Table1[[#This Row],[Initials]]="JM",$AE$14,1))))</f>
        <v>1</v>
      </c>
      <c r="V135" s="3">
        <f>Table1[[#This Row],[FTE %]]*Table1[[#This Row],[Time Worked]]</f>
        <v>6</v>
      </c>
      <c r="W1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135" s="38">
        <f t="shared" si="22"/>
        <v>0</v>
      </c>
      <c r="Y135" s="18">
        <f t="shared" si="23"/>
        <v>371.58</v>
      </c>
    </row>
    <row r="136" spans="1:25" x14ac:dyDescent="0.25">
      <c r="A136" s="10">
        <f t="shared" si="16"/>
        <v>135</v>
      </c>
      <c r="B136" s="6" t="str">
        <f t="shared" si="17"/>
        <v>71220192649JM</v>
      </c>
      <c r="C136" s="1">
        <v>11172</v>
      </c>
      <c r="D136" s="1" t="s">
        <v>1038</v>
      </c>
      <c r="E136" s="1" t="str">
        <f t="shared" si="18"/>
        <v>Internal</v>
      </c>
      <c r="F136" s="1">
        <v>2649</v>
      </c>
      <c r="G136" s="37" t="str">
        <f>VLOOKUP(Table1[[#This Row],[WO'#]],Table2[#All],2,FALSE)</f>
        <v>UNCE Programs Map</v>
      </c>
      <c r="H136" s="20">
        <v>43707</v>
      </c>
      <c r="I136" s="2">
        <v>43658</v>
      </c>
      <c r="J136" s="4">
        <f t="shared" si="19"/>
        <v>12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0.5</v>
      </c>
      <c r="Q136" s="3">
        <f t="shared" si="20"/>
        <v>0.5</v>
      </c>
      <c r="R136" s="1" t="s">
        <v>972</v>
      </c>
      <c r="S136" s="1" t="s">
        <v>23</v>
      </c>
      <c r="T136" s="3">
        <f t="shared" si="21"/>
        <v>0.5</v>
      </c>
      <c r="U136" s="44">
        <f>IF(Table1[[#This Row],[Initials]]="RM",$AE$10,IF(Table1[[#This Row],[Initials]]="JPH",$AE$11,IF(Table1[[#This Row],[Initials]]="IE",$AE$13,IF(Table1[[#This Row],[Initials]]="JM",$AE$14,1))))</f>
        <v>0.39500000000000002</v>
      </c>
      <c r="V136" s="3">
        <f>Table1[[#This Row],[FTE %]]*Table1[[#This Row],[Time Worked]]</f>
        <v>0.19750000000000001</v>
      </c>
      <c r="W1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36" s="38">
        <f t="shared" si="22"/>
        <v>0</v>
      </c>
      <c r="Y136" s="18">
        <f t="shared" si="23"/>
        <v>30.965</v>
      </c>
    </row>
    <row r="137" spans="1:25" x14ac:dyDescent="0.25">
      <c r="A137" s="10">
        <f t="shared" si="16"/>
        <v>136</v>
      </c>
      <c r="B137" s="6" t="str">
        <f t="shared" si="17"/>
        <v>71520192649IE</v>
      </c>
      <c r="C137" s="1">
        <v>11172</v>
      </c>
      <c r="D137" s="1" t="s">
        <v>1038</v>
      </c>
      <c r="E137" s="1" t="str">
        <f t="shared" si="18"/>
        <v>Internal</v>
      </c>
      <c r="F137" s="1">
        <v>2649</v>
      </c>
      <c r="G137" s="37" t="str">
        <f>VLOOKUP(Table1[[#This Row],[WO'#]],Table2[#All],2,FALSE)</f>
        <v>UNCE Programs Map</v>
      </c>
      <c r="H137" s="20">
        <v>43707</v>
      </c>
      <c r="I137" s="2">
        <v>43661</v>
      </c>
      <c r="J137" s="4">
        <f t="shared" si="19"/>
        <v>15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3</v>
      </c>
      <c r="Q137" s="3">
        <f t="shared" si="20"/>
        <v>3</v>
      </c>
      <c r="R137" s="1" t="s">
        <v>971</v>
      </c>
      <c r="S137" s="1" t="s">
        <v>23</v>
      </c>
      <c r="T137" s="3">
        <f t="shared" si="21"/>
        <v>3</v>
      </c>
      <c r="U137" s="44">
        <f>IF(Table1[[#This Row],[Initials]]="RM",$AE$10,IF(Table1[[#This Row],[Initials]]="JPH",$AE$11,IF(Table1[[#This Row],[Initials]]="IE",$AE$13,IF(Table1[[#This Row],[Initials]]="JM",$AE$14,1))))</f>
        <v>1</v>
      </c>
      <c r="V137" s="3">
        <f>Table1[[#This Row],[FTE %]]*Table1[[#This Row],[Time Worked]]</f>
        <v>3</v>
      </c>
      <c r="W1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37" s="38">
        <f t="shared" si="22"/>
        <v>0</v>
      </c>
      <c r="Y137" s="18">
        <f t="shared" si="23"/>
        <v>185.79</v>
      </c>
    </row>
    <row r="138" spans="1:25" x14ac:dyDescent="0.25">
      <c r="A138" s="10">
        <f t="shared" si="16"/>
        <v>137</v>
      </c>
      <c r="B138" s="6" t="str">
        <f t="shared" si="17"/>
        <v>71620192649IE</v>
      </c>
      <c r="C138" s="1">
        <v>11172</v>
      </c>
      <c r="D138" s="1" t="s">
        <v>1038</v>
      </c>
      <c r="E138" s="1" t="str">
        <f t="shared" si="18"/>
        <v>Internal</v>
      </c>
      <c r="F138" s="1">
        <v>2649</v>
      </c>
      <c r="G138" s="37" t="str">
        <f>VLOOKUP(Table1[[#This Row],[WO'#]],Table2[#All],2,FALSE)</f>
        <v>UNCE Programs Map</v>
      </c>
      <c r="H138" s="20">
        <v>43707</v>
      </c>
      <c r="I138" s="2">
        <v>43662</v>
      </c>
      <c r="J138" s="4">
        <f t="shared" si="19"/>
        <v>16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1.5</v>
      </c>
      <c r="Q138" s="3">
        <f t="shared" si="20"/>
        <v>1.5</v>
      </c>
      <c r="R138" s="1" t="s">
        <v>971</v>
      </c>
      <c r="S138" s="1" t="s">
        <v>23</v>
      </c>
      <c r="T138" s="3">
        <f t="shared" si="21"/>
        <v>1.5</v>
      </c>
      <c r="U138" s="44">
        <f>IF(Table1[[#This Row],[Initials]]="RM",$AE$10,IF(Table1[[#This Row],[Initials]]="JPH",$AE$11,IF(Table1[[#This Row],[Initials]]="IE",$AE$13,IF(Table1[[#This Row],[Initials]]="JM",$AE$14,1))))</f>
        <v>1</v>
      </c>
      <c r="V138" s="3">
        <f>Table1[[#This Row],[FTE %]]*Table1[[#This Row],[Time Worked]]</f>
        <v>1.5</v>
      </c>
      <c r="W1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138" s="38">
        <f t="shared" si="22"/>
        <v>0</v>
      </c>
      <c r="Y138" s="18">
        <f t="shared" si="23"/>
        <v>92.894999999999996</v>
      </c>
    </row>
    <row r="139" spans="1:25" x14ac:dyDescent="0.25">
      <c r="A139" s="10">
        <f t="shared" si="16"/>
        <v>138</v>
      </c>
      <c r="B139" s="6" t="str">
        <f t="shared" si="17"/>
        <v>71620192649JM</v>
      </c>
      <c r="C139" s="1">
        <v>11172</v>
      </c>
      <c r="D139" s="1" t="s">
        <v>1038</v>
      </c>
      <c r="E139" s="1" t="str">
        <f t="shared" si="18"/>
        <v>Internal</v>
      </c>
      <c r="F139" s="1">
        <v>2649</v>
      </c>
      <c r="G139" s="37" t="str">
        <f>VLOOKUP(Table1[[#This Row],[WO'#]],Table2[#All],2,FALSE)</f>
        <v>UNCE Programs Map</v>
      </c>
      <c r="H139" s="20">
        <v>43707</v>
      </c>
      <c r="I139" s="2">
        <v>43662</v>
      </c>
      <c r="J139" s="4">
        <f t="shared" si="19"/>
        <v>16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1.25</v>
      </c>
      <c r="Q139" s="3">
        <f t="shared" si="20"/>
        <v>1.25</v>
      </c>
      <c r="R139" s="1" t="s">
        <v>972</v>
      </c>
      <c r="S139" s="1" t="s">
        <v>23</v>
      </c>
      <c r="T139" s="3">
        <f t="shared" si="21"/>
        <v>1.25</v>
      </c>
      <c r="U139" s="44">
        <f>IF(Table1[[#This Row],[Initials]]="RM",$AE$10,IF(Table1[[#This Row],[Initials]]="JPH",$AE$11,IF(Table1[[#This Row],[Initials]]="IE",$AE$13,IF(Table1[[#This Row],[Initials]]="JM",$AE$14,1))))</f>
        <v>0.39500000000000002</v>
      </c>
      <c r="V139" s="3">
        <f>Table1[[#This Row],[FTE %]]*Table1[[#This Row],[Time Worked]]</f>
        <v>0.49375000000000002</v>
      </c>
      <c r="W1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139" s="38">
        <f t="shared" si="22"/>
        <v>0</v>
      </c>
      <c r="Y139" s="18">
        <f t="shared" si="23"/>
        <v>77.412499999999994</v>
      </c>
    </row>
    <row r="140" spans="1:25" x14ac:dyDescent="0.25">
      <c r="A140" s="10">
        <f t="shared" si="16"/>
        <v>139</v>
      </c>
      <c r="B140" s="6" t="str">
        <f t="shared" si="17"/>
        <v>71720192649IE</v>
      </c>
      <c r="C140" s="1">
        <v>11172</v>
      </c>
      <c r="D140" s="1" t="s">
        <v>1038</v>
      </c>
      <c r="E140" s="53" t="str">
        <f t="shared" si="18"/>
        <v>Internal</v>
      </c>
      <c r="F140" s="1">
        <v>2649</v>
      </c>
      <c r="G140" s="37" t="str">
        <f>VLOOKUP(Table1[[#This Row],[WO'#]],Table2[#All],2,FALSE)</f>
        <v>UNCE Programs Map</v>
      </c>
      <c r="H140" s="20">
        <v>43707</v>
      </c>
      <c r="I140" s="2">
        <v>43663</v>
      </c>
      <c r="J140" s="4">
        <f t="shared" si="19"/>
        <v>17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0.5</v>
      </c>
      <c r="Q140" s="3">
        <f t="shared" si="20"/>
        <v>0.5</v>
      </c>
      <c r="R140" s="1" t="s">
        <v>971</v>
      </c>
      <c r="S140" s="1" t="s">
        <v>23</v>
      </c>
      <c r="T140" s="3">
        <f t="shared" si="21"/>
        <v>0.5</v>
      </c>
      <c r="U140" s="44">
        <f>IF(Table1[[#This Row],[Initials]]="RM",$AE$10,IF(Table1[[#This Row],[Initials]]="JPH",$AE$11,IF(Table1[[#This Row],[Initials]]="IE",$AE$13,IF(Table1[[#This Row],[Initials]]="JM",$AE$14,1))))</f>
        <v>1</v>
      </c>
      <c r="V140" s="3">
        <f>Table1[[#This Row],[FTE %]]*Table1[[#This Row],[Time Worked]]</f>
        <v>0.5</v>
      </c>
      <c r="W1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40" s="38">
        <f t="shared" si="22"/>
        <v>0</v>
      </c>
      <c r="Y140" s="18">
        <f t="shared" si="23"/>
        <v>30.965</v>
      </c>
    </row>
    <row r="141" spans="1:25" x14ac:dyDescent="0.25">
      <c r="A141" s="10">
        <f t="shared" si="16"/>
        <v>140</v>
      </c>
      <c r="B141" s="6" t="str">
        <f t="shared" si="17"/>
        <v>71820192649IE</v>
      </c>
      <c r="C141" s="1">
        <v>11172</v>
      </c>
      <c r="D141" s="1" t="s">
        <v>1038</v>
      </c>
      <c r="E141" s="53" t="str">
        <f t="shared" si="18"/>
        <v>Internal</v>
      </c>
      <c r="F141" s="1">
        <v>2649</v>
      </c>
      <c r="G141" s="37" t="str">
        <f>VLOOKUP(Table1[[#This Row],[WO'#]],Table2[#All],2,FALSE)</f>
        <v>UNCE Programs Map</v>
      </c>
      <c r="H141" s="20">
        <v>43707</v>
      </c>
      <c r="I141" s="2">
        <v>43664</v>
      </c>
      <c r="J141" s="4">
        <f t="shared" si="19"/>
        <v>18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1.5</v>
      </c>
      <c r="Q141" s="3">
        <f t="shared" si="20"/>
        <v>1.5</v>
      </c>
      <c r="R141" s="1" t="s">
        <v>971</v>
      </c>
      <c r="S141" s="1" t="s">
        <v>23</v>
      </c>
      <c r="T141" s="3">
        <f t="shared" si="21"/>
        <v>1.5</v>
      </c>
      <c r="U141" s="44">
        <f>IF(Table1[[#This Row],[Initials]]="RM",$AE$10,IF(Table1[[#This Row],[Initials]]="JPH",$AE$11,IF(Table1[[#This Row],[Initials]]="IE",$AE$13,IF(Table1[[#This Row],[Initials]]="JM",$AE$14,1))))</f>
        <v>1</v>
      </c>
      <c r="V141" s="3">
        <f>Table1[[#This Row],[FTE %]]*Table1[[#This Row],[Time Worked]]</f>
        <v>1.5</v>
      </c>
      <c r="W1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141" s="38">
        <f t="shared" si="22"/>
        <v>0</v>
      </c>
      <c r="Y141" s="18">
        <f t="shared" si="23"/>
        <v>92.894999999999996</v>
      </c>
    </row>
    <row r="142" spans="1:25" x14ac:dyDescent="0.25">
      <c r="A142" s="10">
        <f t="shared" si="16"/>
        <v>141</v>
      </c>
      <c r="B142" s="6" t="str">
        <f t="shared" si="17"/>
        <v>72220192649IE</v>
      </c>
      <c r="C142" s="1">
        <v>11172</v>
      </c>
      <c r="D142" s="1" t="s">
        <v>1038</v>
      </c>
      <c r="E142" s="53" t="str">
        <f t="shared" si="18"/>
        <v>Internal</v>
      </c>
      <c r="F142" s="1">
        <v>2649</v>
      </c>
      <c r="G142" s="37" t="str">
        <f>VLOOKUP(Table1[[#This Row],[WO'#]],Table2[#All],2,FALSE)</f>
        <v>UNCE Programs Map</v>
      </c>
      <c r="H142" s="20">
        <v>43707</v>
      </c>
      <c r="I142" s="2">
        <v>43668</v>
      </c>
      <c r="J142" s="4">
        <f t="shared" si="19"/>
        <v>22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0.5</v>
      </c>
      <c r="Q142" s="3">
        <f t="shared" si="20"/>
        <v>0.5</v>
      </c>
      <c r="R142" s="1" t="s">
        <v>971</v>
      </c>
      <c r="S142" s="1" t="s">
        <v>23</v>
      </c>
      <c r="T142" s="3">
        <f t="shared" si="21"/>
        <v>0.5</v>
      </c>
      <c r="U142" s="44">
        <f>IF(Table1[[#This Row],[Initials]]="RM",$AE$10,IF(Table1[[#This Row],[Initials]]="JPH",$AE$11,IF(Table1[[#This Row],[Initials]]="IE",$AE$13,IF(Table1[[#This Row],[Initials]]="JM",$AE$14,1))))</f>
        <v>1</v>
      </c>
      <c r="V142" s="3">
        <f>Table1[[#This Row],[FTE %]]*Table1[[#This Row],[Time Worked]]</f>
        <v>0.5</v>
      </c>
      <c r="W1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42" s="38">
        <f t="shared" si="22"/>
        <v>0</v>
      </c>
      <c r="Y142" s="18">
        <f t="shared" si="23"/>
        <v>30.965</v>
      </c>
    </row>
    <row r="143" spans="1:25" x14ac:dyDescent="0.25">
      <c r="A143" s="10">
        <f t="shared" si="16"/>
        <v>142</v>
      </c>
      <c r="B143" s="6" t="str">
        <f t="shared" si="17"/>
        <v>81520192649JM</v>
      </c>
      <c r="C143" s="1">
        <v>11172</v>
      </c>
      <c r="D143" s="1" t="s">
        <v>1038</v>
      </c>
      <c r="E143" s="53" t="str">
        <f t="shared" si="18"/>
        <v>Internal</v>
      </c>
      <c r="F143" s="1">
        <v>2649</v>
      </c>
      <c r="G143" s="37" t="str">
        <f>VLOOKUP(Table1[[#This Row],[WO'#]],Table2[#All],2,FALSE)</f>
        <v>UNCE Programs Map</v>
      </c>
      <c r="H143" s="20">
        <v>43707</v>
      </c>
      <c r="I143" s="2">
        <v>43692</v>
      </c>
      <c r="J143" s="4">
        <f t="shared" si="19"/>
        <v>15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0.25</v>
      </c>
      <c r="Q143" s="3">
        <f t="shared" si="20"/>
        <v>0.25</v>
      </c>
      <c r="R143" s="1" t="s">
        <v>972</v>
      </c>
      <c r="S143" s="1" t="s">
        <v>23</v>
      </c>
      <c r="T143" s="3">
        <f t="shared" si="21"/>
        <v>0.25</v>
      </c>
      <c r="U143" s="44">
        <f>IF(Table1[[#This Row],[Initials]]="RM",$AE$10,IF(Table1[[#This Row],[Initials]]="JPH",$AE$11,IF(Table1[[#This Row],[Initials]]="IE",$AE$13,IF(Table1[[#This Row],[Initials]]="JM",$AE$14,1))))</f>
        <v>0.39500000000000002</v>
      </c>
      <c r="V143" s="3">
        <f>Table1[[#This Row],[FTE %]]*Table1[[#This Row],[Time Worked]]</f>
        <v>9.8750000000000004E-2</v>
      </c>
      <c r="W1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43" s="38">
        <f t="shared" si="22"/>
        <v>0</v>
      </c>
      <c r="Y143" s="18">
        <f t="shared" si="23"/>
        <v>15.4825</v>
      </c>
    </row>
    <row r="144" spans="1:25" x14ac:dyDescent="0.25">
      <c r="A144" s="10">
        <f t="shared" si="16"/>
        <v>143</v>
      </c>
      <c r="B144" s="6" t="str">
        <f t="shared" si="17"/>
        <v>7120192642IE</v>
      </c>
      <c r="C144" s="1" t="s">
        <v>969</v>
      </c>
      <c r="D144" s="1" t="s">
        <v>996</v>
      </c>
      <c r="E144" s="53" t="str">
        <f t="shared" si="18"/>
        <v>Annual</v>
      </c>
      <c r="F144" s="1">
        <v>2642</v>
      </c>
      <c r="G144" s="37" t="str">
        <f>VLOOKUP(Table1[[#This Row],[WO'#]],Table2[#All],2,FALSE)</f>
        <v>Annual Time FY20</v>
      </c>
      <c r="H144" s="20" t="s">
        <v>996</v>
      </c>
      <c r="I144" s="2">
        <v>43647</v>
      </c>
      <c r="J144" s="4">
        <f t="shared" si="19"/>
        <v>1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10</v>
      </c>
      <c r="Q144" s="3">
        <f t="shared" si="20"/>
        <v>10</v>
      </c>
      <c r="R144" s="1" t="s">
        <v>971</v>
      </c>
      <c r="S144" s="1" t="s">
        <v>23</v>
      </c>
      <c r="T144" s="3">
        <f t="shared" si="21"/>
        <v>0</v>
      </c>
      <c r="U144" s="44">
        <f>IF(Table1[[#This Row],[Initials]]="RM",$AE$10,IF(Table1[[#This Row],[Initials]]="JPH",$AE$11,IF(Table1[[#This Row],[Initials]]="IE",$AE$13,IF(Table1[[#This Row],[Initials]]="JM",$AE$14,1))))</f>
        <v>1</v>
      </c>
      <c r="V144" s="3">
        <f>Table1[[#This Row],[FTE %]]*Table1[[#This Row],[Time Worked]]</f>
        <v>10</v>
      </c>
      <c r="W1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44" s="38">
        <f t="shared" si="22"/>
        <v>0</v>
      </c>
      <c r="Y144" s="18">
        <f t="shared" si="23"/>
        <v>0</v>
      </c>
    </row>
    <row r="145" spans="1:25" x14ac:dyDescent="0.25">
      <c r="A145" s="10">
        <f t="shared" si="16"/>
        <v>144</v>
      </c>
      <c r="B145" s="6" t="str">
        <f t="shared" si="17"/>
        <v>7220192642IE</v>
      </c>
      <c r="C145" s="1" t="s">
        <v>969</v>
      </c>
      <c r="D145" s="1" t="s">
        <v>996</v>
      </c>
      <c r="E145" s="53" t="str">
        <f t="shared" si="18"/>
        <v>Annual</v>
      </c>
      <c r="F145" s="1">
        <v>2642</v>
      </c>
      <c r="G145" s="37" t="str">
        <f>VLOOKUP(Table1[[#This Row],[WO'#]],Table2[#All],2,FALSE)</f>
        <v>Annual Time FY20</v>
      </c>
      <c r="H145" s="20" t="s">
        <v>996</v>
      </c>
      <c r="I145" s="2">
        <v>43648</v>
      </c>
      <c r="J145" s="4">
        <f t="shared" si="19"/>
        <v>2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10</v>
      </c>
      <c r="Q145" s="3">
        <f t="shared" si="20"/>
        <v>10</v>
      </c>
      <c r="R145" s="1" t="s">
        <v>971</v>
      </c>
      <c r="S145" s="1" t="s">
        <v>23</v>
      </c>
      <c r="T145" s="3">
        <f t="shared" si="21"/>
        <v>0</v>
      </c>
      <c r="U145" s="44">
        <f>IF(Table1[[#This Row],[Initials]]="RM",$AE$10,IF(Table1[[#This Row],[Initials]]="JPH",$AE$11,IF(Table1[[#This Row],[Initials]]="IE",$AE$13,IF(Table1[[#This Row],[Initials]]="JM",$AE$14,1))))</f>
        <v>1</v>
      </c>
      <c r="V145" s="3">
        <f>Table1[[#This Row],[FTE %]]*Table1[[#This Row],[Time Worked]]</f>
        <v>10</v>
      </c>
      <c r="W1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45" s="38">
        <f t="shared" si="22"/>
        <v>0</v>
      </c>
      <c r="Y145" s="18">
        <f t="shared" si="23"/>
        <v>0</v>
      </c>
    </row>
    <row r="146" spans="1:25" x14ac:dyDescent="0.25">
      <c r="A146" s="10">
        <f t="shared" si="16"/>
        <v>145</v>
      </c>
      <c r="B146" s="6" t="str">
        <f t="shared" si="17"/>
        <v>7320192642IE</v>
      </c>
      <c r="C146" s="1" t="s">
        <v>969</v>
      </c>
      <c r="D146" s="1" t="s">
        <v>996</v>
      </c>
      <c r="E146" s="53" t="str">
        <f t="shared" si="18"/>
        <v>Annual</v>
      </c>
      <c r="F146" s="1">
        <v>2642</v>
      </c>
      <c r="G146" s="37" t="str">
        <f>VLOOKUP(Table1[[#This Row],[WO'#]],Table2[#All],2,FALSE)</f>
        <v>Annual Time FY20</v>
      </c>
      <c r="H146" s="20" t="s">
        <v>996</v>
      </c>
      <c r="I146" s="2">
        <v>43649</v>
      </c>
      <c r="J146" s="4">
        <f t="shared" si="19"/>
        <v>3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10</v>
      </c>
      <c r="Q146" s="3">
        <f t="shared" si="20"/>
        <v>10</v>
      </c>
      <c r="R146" s="1" t="s">
        <v>971</v>
      </c>
      <c r="S146" s="1" t="s">
        <v>23</v>
      </c>
      <c r="T146" s="3">
        <f t="shared" si="21"/>
        <v>0</v>
      </c>
      <c r="U146" s="44">
        <f>IF(Table1[[#This Row],[Initials]]="RM",$AE$10,IF(Table1[[#This Row],[Initials]]="JPH",$AE$11,IF(Table1[[#This Row],[Initials]]="IE",$AE$13,IF(Table1[[#This Row],[Initials]]="JM",$AE$14,1))))</f>
        <v>1</v>
      </c>
      <c r="V146" s="3">
        <f>Table1[[#This Row],[FTE %]]*Table1[[#This Row],[Time Worked]]</f>
        <v>10</v>
      </c>
      <c r="W1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46" s="38">
        <f t="shared" si="22"/>
        <v>0</v>
      </c>
      <c r="Y146" s="18">
        <f t="shared" si="23"/>
        <v>0</v>
      </c>
    </row>
    <row r="147" spans="1:25" x14ac:dyDescent="0.25">
      <c r="A147" s="10">
        <f t="shared" si="16"/>
        <v>146</v>
      </c>
      <c r="B147" s="6" t="str">
        <f t="shared" si="17"/>
        <v>7420192642IE</v>
      </c>
      <c r="C147" s="1" t="s">
        <v>969</v>
      </c>
      <c r="D147" s="1" t="s">
        <v>996</v>
      </c>
      <c r="E147" s="53" t="str">
        <f t="shared" si="18"/>
        <v>Annual</v>
      </c>
      <c r="F147" s="1">
        <v>2642</v>
      </c>
      <c r="G147" s="37" t="str">
        <f>VLOOKUP(Table1[[#This Row],[WO'#]],Table2[#All],2,FALSE)</f>
        <v>Annual Time FY20</v>
      </c>
      <c r="H147" s="20" t="s">
        <v>996</v>
      </c>
      <c r="I147" s="2">
        <v>43650</v>
      </c>
      <c r="J147" s="4">
        <f t="shared" si="19"/>
        <v>4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2</v>
      </c>
      <c r="Q147" s="3">
        <f t="shared" si="20"/>
        <v>2</v>
      </c>
      <c r="R147" s="1" t="s">
        <v>971</v>
      </c>
      <c r="S147" s="1" t="s">
        <v>23</v>
      </c>
      <c r="T147" s="3">
        <f t="shared" si="21"/>
        <v>0</v>
      </c>
      <c r="U147" s="44">
        <f>IF(Table1[[#This Row],[Initials]]="RM",$AE$10,IF(Table1[[#This Row],[Initials]]="JPH",$AE$11,IF(Table1[[#This Row],[Initials]]="IE",$AE$13,IF(Table1[[#This Row],[Initials]]="JM",$AE$14,1))))</f>
        <v>1</v>
      </c>
      <c r="V147" s="3">
        <f>Table1[[#This Row],[FTE %]]*Table1[[#This Row],[Time Worked]]</f>
        <v>2</v>
      </c>
      <c r="W1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47" s="38">
        <f t="shared" si="22"/>
        <v>0</v>
      </c>
      <c r="Y147" s="18">
        <f t="shared" si="23"/>
        <v>0</v>
      </c>
    </row>
    <row r="148" spans="1:25" x14ac:dyDescent="0.25">
      <c r="A148" s="10">
        <f t="shared" si="16"/>
        <v>147</v>
      </c>
      <c r="B148" s="6" t="str">
        <f t="shared" si="17"/>
        <v>7520192642JPH</v>
      </c>
      <c r="C148" s="1" t="s">
        <v>969</v>
      </c>
      <c r="D148" s="1" t="s">
        <v>996</v>
      </c>
      <c r="E148" s="53" t="str">
        <f t="shared" si="18"/>
        <v>Annual</v>
      </c>
      <c r="F148" s="1">
        <v>2642</v>
      </c>
      <c r="G148" s="37" t="str">
        <f>VLOOKUP(Table1[[#This Row],[WO'#]],Table2[#All],2,FALSE)</f>
        <v>Annual Time FY20</v>
      </c>
      <c r="H148" s="20" t="s">
        <v>996</v>
      </c>
      <c r="I148" s="2">
        <v>43651</v>
      </c>
      <c r="J148" s="4">
        <f t="shared" si="19"/>
        <v>5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4.25</v>
      </c>
      <c r="Q148" s="3">
        <f t="shared" si="20"/>
        <v>4.25</v>
      </c>
      <c r="R148" s="1" t="s">
        <v>970</v>
      </c>
      <c r="S148" s="1" t="s">
        <v>23</v>
      </c>
      <c r="T148" s="3">
        <f t="shared" si="21"/>
        <v>0</v>
      </c>
      <c r="U148" s="44">
        <f>IF(Table1[[#This Row],[Initials]]="RM",$AE$10,IF(Table1[[#This Row],[Initials]]="JPH",$AE$11,IF(Table1[[#This Row],[Initials]]="IE",$AE$13,IF(Table1[[#This Row],[Initials]]="JM",$AE$14,1))))</f>
        <v>0.53</v>
      </c>
      <c r="V148" s="3">
        <f>Table1[[#This Row],[FTE %]]*Table1[[#This Row],[Time Worked]]</f>
        <v>2.2524999999999999</v>
      </c>
      <c r="W1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139.49732499999999</v>
      </c>
      <c r="X148" s="38">
        <f t="shared" si="22"/>
        <v>0</v>
      </c>
      <c r="Y148" s="18">
        <f t="shared" si="23"/>
        <v>0</v>
      </c>
    </row>
    <row r="149" spans="1:25" x14ac:dyDescent="0.25">
      <c r="A149" s="10">
        <f t="shared" si="16"/>
        <v>148</v>
      </c>
      <c r="B149" s="6" t="str">
        <f t="shared" si="17"/>
        <v>71920192642JPH</v>
      </c>
      <c r="C149" s="1" t="s">
        <v>969</v>
      </c>
      <c r="D149" s="1" t="s">
        <v>996</v>
      </c>
      <c r="E149" s="53" t="str">
        <f t="shared" si="18"/>
        <v>Annual</v>
      </c>
      <c r="F149" s="1">
        <v>2642</v>
      </c>
      <c r="G149" s="37" t="str">
        <f>VLOOKUP(Table1[[#This Row],[WO'#]],Table2[#All],2,FALSE)</f>
        <v>Annual Time FY20</v>
      </c>
      <c r="H149" s="20" t="s">
        <v>996</v>
      </c>
      <c r="I149" s="2">
        <v>43665</v>
      </c>
      <c r="J149" s="4">
        <f t="shared" si="19"/>
        <v>19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4.25</v>
      </c>
      <c r="Q149" s="3">
        <f t="shared" si="20"/>
        <v>4.25</v>
      </c>
      <c r="R149" s="1" t="s">
        <v>970</v>
      </c>
      <c r="S149" s="1" t="s">
        <v>23</v>
      </c>
      <c r="T149" s="3">
        <f t="shared" si="21"/>
        <v>0</v>
      </c>
      <c r="U149" s="44">
        <f>IF(Table1[[#This Row],[Initials]]="RM",$AE$10,IF(Table1[[#This Row],[Initials]]="JPH",$AE$11,IF(Table1[[#This Row],[Initials]]="IE",$AE$13,IF(Table1[[#This Row],[Initials]]="JM",$AE$14,1))))</f>
        <v>0.53</v>
      </c>
      <c r="V149" s="3">
        <f>Table1[[#This Row],[FTE %]]*Table1[[#This Row],[Time Worked]]</f>
        <v>2.2524999999999999</v>
      </c>
      <c r="W1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139.49732499999999</v>
      </c>
      <c r="X149" s="38">
        <f t="shared" si="22"/>
        <v>0</v>
      </c>
      <c r="Y149" s="18">
        <f t="shared" si="23"/>
        <v>0</v>
      </c>
    </row>
    <row r="150" spans="1:25" x14ac:dyDescent="0.25">
      <c r="A150" s="10">
        <f t="shared" si="16"/>
        <v>149</v>
      </c>
      <c r="B150" s="6" t="str">
        <f t="shared" si="17"/>
        <v>72620192642JM</v>
      </c>
      <c r="C150" s="1" t="s">
        <v>969</v>
      </c>
      <c r="D150" s="1" t="s">
        <v>996</v>
      </c>
      <c r="E150" s="53" t="str">
        <f t="shared" si="18"/>
        <v>Annual</v>
      </c>
      <c r="F150" s="1">
        <v>2642</v>
      </c>
      <c r="G150" s="37" t="str">
        <f>VLOOKUP(Table1[[#This Row],[WO'#]],Table2[#All],2,FALSE)</f>
        <v>Annual Time FY20</v>
      </c>
      <c r="H150" s="20" t="s">
        <v>996</v>
      </c>
      <c r="I150" s="2">
        <v>43672</v>
      </c>
      <c r="J150" s="4">
        <f t="shared" si="19"/>
        <v>26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10</v>
      </c>
      <c r="Q150" s="3">
        <f t="shared" si="20"/>
        <v>10</v>
      </c>
      <c r="R150" s="1" t="s">
        <v>972</v>
      </c>
      <c r="S150" s="1" t="s">
        <v>23</v>
      </c>
      <c r="T150" s="3">
        <f t="shared" si="21"/>
        <v>0</v>
      </c>
      <c r="U150" s="44">
        <f>IF(Table1[[#This Row],[Initials]]="RM",$AE$10,IF(Table1[[#This Row],[Initials]]="JPH",$AE$11,IF(Table1[[#This Row],[Initials]]="IE",$AE$13,IF(Table1[[#This Row],[Initials]]="JM",$AE$14,1))))</f>
        <v>0.39500000000000002</v>
      </c>
      <c r="V150" s="3">
        <f>Table1[[#This Row],[FTE %]]*Table1[[#This Row],[Time Worked]]</f>
        <v>3.95</v>
      </c>
      <c r="W1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244.62350000000001</v>
      </c>
      <c r="X150" s="38">
        <f t="shared" si="22"/>
        <v>0</v>
      </c>
      <c r="Y150" s="18">
        <f t="shared" si="23"/>
        <v>0</v>
      </c>
    </row>
    <row r="151" spans="1:25" x14ac:dyDescent="0.25">
      <c r="A151" s="10">
        <f t="shared" si="16"/>
        <v>150</v>
      </c>
      <c r="B151" s="6" t="str">
        <f t="shared" si="17"/>
        <v>72920192642IE</v>
      </c>
      <c r="C151" s="1" t="s">
        <v>969</v>
      </c>
      <c r="D151" s="1" t="s">
        <v>996</v>
      </c>
      <c r="E151" s="53" t="str">
        <f t="shared" si="18"/>
        <v>Annual</v>
      </c>
      <c r="F151" s="1">
        <v>2642</v>
      </c>
      <c r="G151" s="37" t="str">
        <f>VLOOKUP(Table1[[#This Row],[WO'#]],Table2[#All],2,FALSE)</f>
        <v>Annual Time FY20</v>
      </c>
      <c r="H151" s="20" t="s">
        <v>996</v>
      </c>
      <c r="I151" s="2">
        <v>43675</v>
      </c>
      <c r="J151" s="4">
        <f t="shared" si="19"/>
        <v>29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10</v>
      </c>
      <c r="Q151" s="3">
        <f t="shared" si="20"/>
        <v>10</v>
      </c>
      <c r="R151" s="1" t="s">
        <v>971</v>
      </c>
      <c r="S151" s="1" t="s">
        <v>23</v>
      </c>
      <c r="T151" s="3">
        <f t="shared" si="21"/>
        <v>0</v>
      </c>
      <c r="U151" s="44">
        <f>IF(Table1[[#This Row],[Initials]]="RM",$AE$10,IF(Table1[[#This Row],[Initials]]="JPH",$AE$11,IF(Table1[[#This Row],[Initials]]="IE",$AE$13,IF(Table1[[#This Row],[Initials]]="JM",$AE$14,1))))</f>
        <v>1</v>
      </c>
      <c r="V151" s="3">
        <f>Table1[[#This Row],[FTE %]]*Table1[[#This Row],[Time Worked]]</f>
        <v>10</v>
      </c>
      <c r="W15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51" s="38">
        <f t="shared" si="22"/>
        <v>0</v>
      </c>
      <c r="Y151" s="18">
        <f t="shared" si="23"/>
        <v>0</v>
      </c>
    </row>
    <row r="152" spans="1:25" x14ac:dyDescent="0.25">
      <c r="A152" s="10">
        <f t="shared" si="16"/>
        <v>151</v>
      </c>
      <c r="B152" s="6" t="str">
        <f t="shared" si="17"/>
        <v>73020192642IE</v>
      </c>
      <c r="C152" s="1" t="s">
        <v>969</v>
      </c>
      <c r="D152" s="1" t="s">
        <v>996</v>
      </c>
      <c r="E152" s="53" t="str">
        <f t="shared" si="18"/>
        <v>Annual</v>
      </c>
      <c r="F152" s="1">
        <v>2642</v>
      </c>
      <c r="G152" s="37" t="str">
        <f>VLOOKUP(Table1[[#This Row],[WO'#]],Table2[#All],2,FALSE)</f>
        <v>Annual Time FY20</v>
      </c>
      <c r="H152" s="20" t="s">
        <v>996</v>
      </c>
      <c r="I152" s="2">
        <v>43676</v>
      </c>
      <c r="J152" s="4">
        <f t="shared" si="19"/>
        <v>30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10</v>
      </c>
      <c r="Q152" s="3">
        <f t="shared" si="20"/>
        <v>10</v>
      </c>
      <c r="R152" s="1" t="s">
        <v>971</v>
      </c>
      <c r="S152" s="1" t="s">
        <v>23</v>
      </c>
      <c r="T152" s="3">
        <f t="shared" si="21"/>
        <v>0</v>
      </c>
      <c r="U152" s="44">
        <f>IF(Table1[[#This Row],[Initials]]="RM",$AE$10,IF(Table1[[#This Row],[Initials]]="JPH",$AE$11,IF(Table1[[#This Row],[Initials]]="IE",$AE$13,IF(Table1[[#This Row],[Initials]]="JM",$AE$14,1))))</f>
        <v>1</v>
      </c>
      <c r="V152" s="3">
        <f>Table1[[#This Row],[FTE %]]*Table1[[#This Row],[Time Worked]]</f>
        <v>10</v>
      </c>
      <c r="W15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52" s="38">
        <f t="shared" si="22"/>
        <v>0</v>
      </c>
      <c r="Y152" s="18">
        <f t="shared" si="23"/>
        <v>0</v>
      </c>
    </row>
    <row r="153" spans="1:25" x14ac:dyDescent="0.25">
      <c r="A153" s="10">
        <f t="shared" si="16"/>
        <v>152</v>
      </c>
      <c r="B153" s="6" t="str">
        <f t="shared" si="17"/>
        <v>73120192642IE</v>
      </c>
      <c r="C153" s="1" t="s">
        <v>969</v>
      </c>
      <c r="D153" s="1" t="s">
        <v>996</v>
      </c>
      <c r="E153" s="53" t="str">
        <f t="shared" si="18"/>
        <v>Annual</v>
      </c>
      <c r="F153" s="1">
        <v>2642</v>
      </c>
      <c r="G153" s="37" t="str">
        <f>VLOOKUP(Table1[[#This Row],[WO'#]],Table2[#All],2,FALSE)</f>
        <v>Annual Time FY20</v>
      </c>
      <c r="H153" s="20" t="s">
        <v>996</v>
      </c>
      <c r="I153" s="2">
        <v>43677</v>
      </c>
      <c r="J153" s="4">
        <f t="shared" si="19"/>
        <v>31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10</v>
      </c>
      <c r="Q153" s="3">
        <f t="shared" si="20"/>
        <v>10</v>
      </c>
      <c r="R153" s="1" t="s">
        <v>971</v>
      </c>
      <c r="S153" s="1" t="s">
        <v>23</v>
      </c>
      <c r="T153" s="3">
        <f t="shared" si="21"/>
        <v>0</v>
      </c>
      <c r="U153" s="44">
        <f>IF(Table1[[#This Row],[Initials]]="RM",$AE$10,IF(Table1[[#This Row],[Initials]]="JPH",$AE$11,IF(Table1[[#This Row],[Initials]]="IE",$AE$13,IF(Table1[[#This Row],[Initials]]="JM",$AE$14,1))))</f>
        <v>1</v>
      </c>
      <c r="V153" s="3">
        <f>Table1[[#This Row],[FTE %]]*Table1[[#This Row],[Time Worked]]</f>
        <v>10</v>
      </c>
      <c r="W15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53" s="38">
        <f t="shared" si="22"/>
        <v>0</v>
      </c>
      <c r="Y153" s="18">
        <f t="shared" si="23"/>
        <v>0</v>
      </c>
    </row>
    <row r="154" spans="1:25" x14ac:dyDescent="0.25">
      <c r="A154" s="10">
        <f t="shared" si="16"/>
        <v>153</v>
      </c>
      <c r="B154" s="6" t="str">
        <f t="shared" si="17"/>
        <v>8120192642IE</v>
      </c>
      <c r="C154" s="1" t="s">
        <v>969</v>
      </c>
      <c r="D154" s="1" t="s">
        <v>996</v>
      </c>
      <c r="E154" s="53" t="str">
        <f t="shared" si="18"/>
        <v>Annual</v>
      </c>
      <c r="F154" s="1">
        <v>2642</v>
      </c>
      <c r="G154" s="37" t="str">
        <f>VLOOKUP(Table1[[#This Row],[WO'#]],Table2[#All],2,FALSE)</f>
        <v>Annual Time FY20</v>
      </c>
      <c r="H154" s="20" t="s">
        <v>996</v>
      </c>
      <c r="I154" s="2">
        <v>43678</v>
      </c>
      <c r="J154" s="4">
        <f t="shared" si="19"/>
        <v>1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10</v>
      </c>
      <c r="Q154" s="3">
        <f t="shared" si="20"/>
        <v>10</v>
      </c>
      <c r="R154" s="1" t="s">
        <v>971</v>
      </c>
      <c r="S154" s="1" t="s">
        <v>23</v>
      </c>
      <c r="T154" s="3">
        <f t="shared" si="21"/>
        <v>0</v>
      </c>
      <c r="U154" s="44">
        <f>IF(Table1[[#This Row],[Initials]]="RM",$AE$10,IF(Table1[[#This Row],[Initials]]="JPH",$AE$11,IF(Table1[[#This Row],[Initials]]="IE",$AE$13,IF(Table1[[#This Row],[Initials]]="JM",$AE$14,1))))</f>
        <v>1</v>
      </c>
      <c r="V154" s="3">
        <f>Table1[[#This Row],[FTE %]]*Table1[[#This Row],[Time Worked]]</f>
        <v>10</v>
      </c>
      <c r="W15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619.29999999999995</v>
      </c>
      <c r="X154" s="38">
        <f t="shared" si="22"/>
        <v>0</v>
      </c>
      <c r="Y154" s="18">
        <f t="shared" si="23"/>
        <v>0</v>
      </c>
    </row>
    <row r="155" spans="1:25" x14ac:dyDescent="0.25">
      <c r="A155" s="10">
        <f t="shared" si="16"/>
        <v>154</v>
      </c>
      <c r="B155" s="6" t="str">
        <f t="shared" si="17"/>
        <v>8220192642JPH</v>
      </c>
      <c r="C155" s="1" t="s">
        <v>969</v>
      </c>
      <c r="D155" s="1" t="s">
        <v>996</v>
      </c>
      <c r="E155" s="53" t="str">
        <f t="shared" si="18"/>
        <v>Annual</v>
      </c>
      <c r="F155" s="1">
        <v>2642</v>
      </c>
      <c r="G155" s="37" t="str">
        <f>VLOOKUP(Table1[[#This Row],[WO'#]],Table2[#All],2,FALSE)</f>
        <v>Annual Time FY20</v>
      </c>
      <c r="H155" s="20" t="s">
        <v>996</v>
      </c>
      <c r="I155" s="2">
        <v>43679</v>
      </c>
      <c r="J155" s="4">
        <f t="shared" si="19"/>
        <v>2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3</v>
      </c>
      <c r="Q155" s="3">
        <f t="shared" si="20"/>
        <v>3</v>
      </c>
      <c r="R155" s="1" t="s">
        <v>970</v>
      </c>
      <c r="S155" s="1" t="s">
        <v>23</v>
      </c>
      <c r="T155" s="3">
        <f t="shared" si="21"/>
        <v>0</v>
      </c>
      <c r="U155" s="44">
        <f>IF(Table1[[#This Row],[Initials]]="RM",$AE$10,IF(Table1[[#This Row],[Initials]]="JPH",$AE$11,IF(Table1[[#This Row],[Initials]]="IE",$AE$13,IF(Table1[[#This Row],[Initials]]="JM",$AE$14,1))))</f>
        <v>0.53</v>
      </c>
      <c r="V155" s="3">
        <f>Table1[[#This Row],[FTE %]]*Table1[[#This Row],[Time Worked]]</f>
        <v>1.59</v>
      </c>
      <c r="W15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98.468699999999998</v>
      </c>
      <c r="X155" s="38">
        <f t="shared" si="22"/>
        <v>0</v>
      </c>
      <c r="Y155" s="18">
        <f t="shared" si="23"/>
        <v>0</v>
      </c>
    </row>
    <row r="156" spans="1:25" x14ac:dyDescent="0.25">
      <c r="A156" s="10">
        <f t="shared" si="16"/>
        <v>155</v>
      </c>
      <c r="B156" s="6" t="str">
        <f t="shared" si="17"/>
        <v>81220192642RM</v>
      </c>
      <c r="C156" s="1" t="s">
        <v>969</v>
      </c>
      <c r="D156" s="1" t="s">
        <v>996</v>
      </c>
      <c r="E156" s="53" t="str">
        <f t="shared" si="18"/>
        <v>Annual</v>
      </c>
      <c r="F156" s="1">
        <v>2642</v>
      </c>
      <c r="G156" s="37" t="str">
        <f>VLOOKUP(Table1[[#This Row],[WO'#]],Table2[#All],2,FALSE)</f>
        <v>Annual Time FY20</v>
      </c>
      <c r="H156" s="20" t="s">
        <v>996</v>
      </c>
      <c r="I156" s="2">
        <v>43689</v>
      </c>
      <c r="J156" s="4">
        <f t="shared" si="19"/>
        <v>12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10</v>
      </c>
      <c r="Q156" s="3">
        <f t="shared" si="20"/>
        <v>10</v>
      </c>
      <c r="R156" s="1" t="s">
        <v>17</v>
      </c>
      <c r="S156" s="1" t="s">
        <v>23</v>
      </c>
      <c r="T156" s="3">
        <f t="shared" si="21"/>
        <v>0</v>
      </c>
      <c r="U156" s="44">
        <f>IF(Table1[[#This Row],[Initials]]="RM",$AE$10,IF(Table1[[#This Row],[Initials]]="JPH",$AE$11,IF(Table1[[#This Row],[Initials]]="IE",$AE$13,IF(Table1[[#This Row],[Initials]]="JM",$AE$14,1))))</f>
        <v>0.5</v>
      </c>
      <c r="V156" s="3">
        <f>Table1[[#This Row],[FTE %]]*Table1[[#This Row],[Time Worked]]</f>
        <v>5</v>
      </c>
      <c r="W15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56" s="38">
        <f t="shared" si="22"/>
        <v>0</v>
      </c>
      <c r="Y156" s="18">
        <f t="shared" si="23"/>
        <v>0</v>
      </c>
    </row>
    <row r="157" spans="1:25" x14ac:dyDescent="0.25">
      <c r="A157" s="10">
        <f t="shared" si="16"/>
        <v>156</v>
      </c>
      <c r="B157" s="6" t="str">
        <f t="shared" si="17"/>
        <v>81320192642RM</v>
      </c>
      <c r="C157" s="1" t="s">
        <v>969</v>
      </c>
      <c r="D157" s="1" t="s">
        <v>996</v>
      </c>
      <c r="E157" s="53" t="str">
        <f t="shared" si="18"/>
        <v>Annual</v>
      </c>
      <c r="F157" s="1">
        <v>2642</v>
      </c>
      <c r="G157" s="37" t="str">
        <f>VLOOKUP(Table1[[#This Row],[WO'#]],Table2[#All],2,FALSE)</f>
        <v>Annual Time FY20</v>
      </c>
      <c r="H157" s="20" t="s">
        <v>996</v>
      </c>
      <c r="I157" s="2">
        <v>43690</v>
      </c>
      <c r="J157" s="4">
        <f t="shared" si="19"/>
        <v>13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10</v>
      </c>
      <c r="Q157" s="3">
        <f t="shared" si="20"/>
        <v>10</v>
      </c>
      <c r="R157" s="1" t="s">
        <v>17</v>
      </c>
      <c r="S157" s="1" t="s">
        <v>23</v>
      </c>
      <c r="T157" s="3">
        <f t="shared" si="21"/>
        <v>0</v>
      </c>
      <c r="U157" s="44">
        <f>IF(Table1[[#This Row],[Initials]]="RM",$AE$10,IF(Table1[[#This Row],[Initials]]="JPH",$AE$11,IF(Table1[[#This Row],[Initials]]="IE",$AE$13,IF(Table1[[#This Row],[Initials]]="JM",$AE$14,1))))</f>
        <v>0.5</v>
      </c>
      <c r="V157" s="3">
        <f>Table1[[#This Row],[FTE %]]*Table1[[#This Row],[Time Worked]]</f>
        <v>5</v>
      </c>
      <c r="W15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57" s="38">
        <f t="shared" si="22"/>
        <v>0</v>
      </c>
      <c r="Y157" s="18">
        <f t="shared" si="23"/>
        <v>0</v>
      </c>
    </row>
    <row r="158" spans="1:25" x14ac:dyDescent="0.25">
      <c r="A158" s="10">
        <f t="shared" si="16"/>
        <v>157</v>
      </c>
      <c r="B158" s="6" t="str">
        <f t="shared" si="17"/>
        <v>81420192642RM</v>
      </c>
      <c r="C158" s="1" t="s">
        <v>969</v>
      </c>
      <c r="D158" s="1" t="s">
        <v>996</v>
      </c>
      <c r="E158" s="53" t="str">
        <f t="shared" si="18"/>
        <v>Annual</v>
      </c>
      <c r="F158" s="1">
        <v>2642</v>
      </c>
      <c r="G158" s="37" t="str">
        <f>VLOOKUP(Table1[[#This Row],[WO'#]],Table2[#All],2,FALSE)</f>
        <v>Annual Time FY20</v>
      </c>
      <c r="H158" s="20" t="s">
        <v>996</v>
      </c>
      <c r="I158" s="2">
        <v>43691</v>
      </c>
      <c r="J158" s="4">
        <f t="shared" si="19"/>
        <v>14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10</v>
      </c>
      <c r="Q158" s="3">
        <f t="shared" si="20"/>
        <v>10</v>
      </c>
      <c r="R158" s="1" t="s">
        <v>17</v>
      </c>
      <c r="S158" s="1" t="s">
        <v>23</v>
      </c>
      <c r="T158" s="3">
        <f t="shared" si="21"/>
        <v>0</v>
      </c>
      <c r="U158" s="44">
        <f>IF(Table1[[#This Row],[Initials]]="RM",$AE$10,IF(Table1[[#This Row],[Initials]]="JPH",$AE$11,IF(Table1[[#This Row],[Initials]]="IE",$AE$13,IF(Table1[[#This Row],[Initials]]="JM",$AE$14,1))))</f>
        <v>0.5</v>
      </c>
      <c r="V158" s="3">
        <f>Table1[[#This Row],[FTE %]]*Table1[[#This Row],[Time Worked]]</f>
        <v>5</v>
      </c>
      <c r="W15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58" s="38">
        <f t="shared" si="22"/>
        <v>0</v>
      </c>
      <c r="Y158" s="18">
        <f t="shared" si="23"/>
        <v>0</v>
      </c>
    </row>
    <row r="159" spans="1:25" x14ac:dyDescent="0.25">
      <c r="A159" s="10">
        <f t="shared" si="16"/>
        <v>158</v>
      </c>
      <c r="B159" s="6" t="str">
        <f t="shared" si="17"/>
        <v>7520192643JM</v>
      </c>
      <c r="C159" s="1" t="s">
        <v>969</v>
      </c>
      <c r="D159" s="1" t="s">
        <v>996</v>
      </c>
      <c r="E159" s="53" t="str">
        <f t="shared" si="18"/>
        <v>Comp</v>
      </c>
      <c r="F159" s="1">
        <v>2643</v>
      </c>
      <c r="G159" s="37" t="str">
        <f>VLOOKUP(Table1[[#This Row],[WO'#]],Table2[#All],2,FALSE)</f>
        <v>Comp Time FY20</v>
      </c>
      <c r="H159" s="20" t="s">
        <v>996</v>
      </c>
      <c r="I159" s="2">
        <v>43651</v>
      </c>
      <c r="J159" s="4">
        <f t="shared" si="19"/>
        <v>5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10</v>
      </c>
      <c r="Q159" s="3">
        <f t="shared" si="20"/>
        <v>10</v>
      </c>
      <c r="R159" s="1" t="s">
        <v>972</v>
      </c>
      <c r="S159" s="1" t="s">
        <v>23</v>
      </c>
      <c r="T159" s="3">
        <f t="shared" si="21"/>
        <v>0</v>
      </c>
      <c r="U159" s="44">
        <f>IF(Table1[[#This Row],[Initials]]="RM",$AE$10,IF(Table1[[#This Row],[Initials]]="JPH",$AE$11,IF(Table1[[#This Row],[Initials]]="IE",$AE$13,IF(Table1[[#This Row],[Initials]]="JM",$AE$14,1))))</f>
        <v>0.39500000000000002</v>
      </c>
      <c r="V159" s="3">
        <f>Table1[[#This Row],[FTE %]]*Table1[[#This Row],[Time Worked]]</f>
        <v>3.95</v>
      </c>
      <c r="W15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244.62350000000001</v>
      </c>
      <c r="X159" s="38">
        <f t="shared" si="22"/>
        <v>0</v>
      </c>
      <c r="Y159" s="18">
        <f t="shared" si="23"/>
        <v>0</v>
      </c>
    </row>
    <row r="160" spans="1:25" x14ac:dyDescent="0.25">
      <c r="A160" s="10">
        <f t="shared" si="16"/>
        <v>159</v>
      </c>
      <c r="B160" s="6" t="str">
        <f t="shared" si="17"/>
        <v>71920192643JM</v>
      </c>
      <c r="C160" s="1" t="s">
        <v>969</v>
      </c>
      <c r="D160" s="1" t="s">
        <v>996</v>
      </c>
      <c r="E160" s="53" t="str">
        <f t="shared" si="18"/>
        <v>Comp</v>
      </c>
      <c r="F160" s="1">
        <v>2643</v>
      </c>
      <c r="G160" s="37" t="str">
        <f>VLOOKUP(Table1[[#This Row],[WO'#]],Table2[#All],2,FALSE)</f>
        <v>Comp Time FY20</v>
      </c>
      <c r="H160" s="20" t="s">
        <v>996</v>
      </c>
      <c r="I160" s="2">
        <v>43665</v>
      </c>
      <c r="J160" s="4">
        <f t="shared" si="19"/>
        <v>19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2.75</v>
      </c>
      <c r="Q160" s="3">
        <f t="shared" si="20"/>
        <v>2.75</v>
      </c>
      <c r="R160" s="1" t="s">
        <v>972</v>
      </c>
      <c r="S160" s="1" t="s">
        <v>23</v>
      </c>
      <c r="T160" s="3">
        <f t="shared" si="21"/>
        <v>0</v>
      </c>
      <c r="U160" s="44">
        <f>IF(Table1[[#This Row],[Initials]]="RM",$AE$10,IF(Table1[[#This Row],[Initials]]="JPH",$AE$11,IF(Table1[[#This Row],[Initials]]="IE",$AE$13,IF(Table1[[#This Row],[Initials]]="JM",$AE$14,1))))</f>
        <v>0.39500000000000002</v>
      </c>
      <c r="V160" s="3">
        <f>Table1[[#This Row],[FTE %]]*Table1[[#This Row],[Time Worked]]</f>
        <v>1.0862500000000002</v>
      </c>
      <c r="W16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67.271462500000013</v>
      </c>
      <c r="X160" s="38">
        <f t="shared" si="22"/>
        <v>0</v>
      </c>
      <c r="Y160" s="18">
        <f t="shared" si="23"/>
        <v>0</v>
      </c>
    </row>
    <row r="161" spans="1:25" x14ac:dyDescent="0.25">
      <c r="A161" s="10">
        <f t="shared" si="16"/>
        <v>160</v>
      </c>
      <c r="B161" s="6" t="str">
        <f t="shared" si="17"/>
        <v>7420192644IE</v>
      </c>
      <c r="C161" s="1" t="s">
        <v>969</v>
      </c>
      <c r="D161" s="1" t="s">
        <v>996</v>
      </c>
      <c r="E161" s="1" t="str">
        <f t="shared" si="18"/>
        <v>Holiday</v>
      </c>
      <c r="F161" s="1">
        <v>2644</v>
      </c>
      <c r="G161" s="37" t="str">
        <f>VLOOKUP(Table1[[#This Row],[WO'#]],Table2[#All],2,FALSE)</f>
        <v>Holiday Time FY20</v>
      </c>
      <c r="H161" s="20" t="s">
        <v>996</v>
      </c>
      <c r="I161" s="2">
        <v>43650</v>
      </c>
      <c r="J161" s="4">
        <f t="shared" si="19"/>
        <v>4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8</v>
      </c>
      <c r="Q161" s="3">
        <f t="shared" si="20"/>
        <v>8</v>
      </c>
      <c r="R161" s="1" t="s">
        <v>971</v>
      </c>
      <c r="S161" s="1" t="s">
        <v>23</v>
      </c>
      <c r="T161" s="3">
        <f t="shared" si="21"/>
        <v>0</v>
      </c>
      <c r="U161" s="44">
        <f>IF(Table1[[#This Row],[Initials]]="RM",$AE$10,IF(Table1[[#This Row],[Initials]]="JPH",$AE$11,IF(Table1[[#This Row],[Initials]]="IE",$AE$13,IF(Table1[[#This Row],[Initials]]="JM",$AE$14,1))))</f>
        <v>1</v>
      </c>
      <c r="V161" s="3">
        <f>Table1[[#This Row],[FTE %]]*Table1[[#This Row],[Time Worked]]</f>
        <v>8</v>
      </c>
      <c r="W16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161" s="38">
        <f t="shared" si="22"/>
        <v>0</v>
      </c>
      <c r="Y161" s="18">
        <f t="shared" si="23"/>
        <v>0</v>
      </c>
    </row>
    <row r="162" spans="1:25" x14ac:dyDescent="0.25">
      <c r="A162" s="10">
        <f t="shared" si="16"/>
        <v>161</v>
      </c>
      <c r="B162" s="6" t="str">
        <f t="shared" si="17"/>
        <v>7420192644JM</v>
      </c>
      <c r="C162" s="1" t="s">
        <v>969</v>
      </c>
      <c r="D162" s="1" t="s">
        <v>996</v>
      </c>
      <c r="E162" s="1" t="str">
        <f t="shared" si="18"/>
        <v>Holiday</v>
      </c>
      <c r="F162" s="1">
        <v>2644</v>
      </c>
      <c r="G162" s="37" t="str">
        <f>VLOOKUP(Table1[[#This Row],[WO'#]],Table2[#All],2,FALSE)</f>
        <v>Holiday Time FY20</v>
      </c>
      <c r="H162" s="20" t="s">
        <v>996</v>
      </c>
      <c r="I162" s="2">
        <v>43650</v>
      </c>
      <c r="J162" s="4">
        <f t="shared" si="19"/>
        <v>4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8</v>
      </c>
      <c r="Q162" s="3">
        <f t="shared" si="20"/>
        <v>8</v>
      </c>
      <c r="R162" s="1" t="s">
        <v>972</v>
      </c>
      <c r="S162" s="1" t="s">
        <v>23</v>
      </c>
      <c r="T162" s="3">
        <f t="shared" si="21"/>
        <v>0</v>
      </c>
      <c r="U162" s="44">
        <f>IF(Table1[[#This Row],[Initials]]="RM",$AE$10,IF(Table1[[#This Row],[Initials]]="JPH",$AE$11,IF(Table1[[#This Row],[Initials]]="IE",$AE$13,IF(Table1[[#This Row],[Initials]]="JM",$AE$14,1))))</f>
        <v>0.39500000000000002</v>
      </c>
      <c r="V162" s="3">
        <f>Table1[[#This Row],[FTE %]]*Table1[[#This Row],[Time Worked]]</f>
        <v>3.16</v>
      </c>
      <c r="W16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195.69880000000001</v>
      </c>
      <c r="X162" s="38">
        <f t="shared" si="22"/>
        <v>0</v>
      </c>
      <c r="Y162" s="18">
        <f t="shared" si="23"/>
        <v>0</v>
      </c>
    </row>
    <row r="163" spans="1:25" x14ac:dyDescent="0.25">
      <c r="A163" s="10">
        <f t="shared" si="16"/>
        <v>162</v>
      </c>
      <c r="B163" s="6" t="str">
        <f t="shared" si="17"/>
        <v>7420192644JPH</v>
      </c>
      <c r="C163" s="1" t="s">
        <v>969</v>
      </c>
      <c r="D163" s="1" t="s">
        <v>996</v>
      </c>
      <c r="E163" s="1" t="str">
        <f t="shared" si="18"/>
        <v>Holiday</v>
      </c>
      <c r="F163" s="1">
        <v>2644</v>
      </c>
      <c r="G163" s="37" t="str">
        <f>VLOOKUP(Table1[[#This Row],[WO'#]],Table2[#All],2,FALSE)</f>
        <v>Holiday Time FY20</v>
      </c>
      <c r="H163" s="20" t="s">
        <v>996</v>
      </c>
      <c r="I163" s="2">
        <v>43650</v>
      </c>
      <c r="J163" s="4">
        <f t="shared" si="19"/>
        <v>4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4.25</v>
      </c>
      <c r="Q163" s="3">
        <f t="shared" si="20"/>
        <v>4.25</v>
      </c>
      <c r="R163" s="1" t="s">
        <v>970</v>
      </c>
      <c r="S163" s="1" t="s">
        <v>23</v>
      </c>
      <c r="T163" s="3">
        <f t="shared" si="21"/>
        <v>0</v>
      </c>
      <c r="U163" s="44">
        <f>IF(Table1[[#This Row],[Initials]]="RM",$AE$10,IF(Table1[[#This Row],[Initials]]="JPH",$AE$11,IF(Table1[[#This Row],[Initials]]="IE",$AE$13,IF(Table1[[#This Row],[Initials]]="JM",$AE$14,1))))</f>
        <v>0.53</v>
      </c>
      <c r="V163" s="3">
        <f>Table1[[#This Row],[FTE %]]*Table1[[#This Row],[Time Worked]]</f>
        <v>2.2524999999999999</v>
      </c>
      <c r="W16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139.49732499999999</v>
      </c>
      <c r="X163" s="38">
        <f t="shared" si="22"/>
        <v>0</v>
      </c>
      <c r="Y163" s="18">
        <f t="shared" si="23"/>
        <v>0</v>
      </c>
    </row>
    <row r="164" spans="1:25" x14ac:dyDescent="0.25">
      <c r="A164" s="10">
        <f t="shared" si="16"/>
        <v>163</v>
      </c>
      <c r="B164" s="6" t="str">
        <f t="shared" si="17"/>
        <v>7420192644RM</v>
      </c>
      <c r="C164" s="1" t="s">
        <v>969</v>
      </c>
      <c r="D164" s="1" t="s">
        <v>996</v>
      </c>
      <c r="E164" s="1" t="str">
        <f t="shared" si="18"/>
        <v>Holiday</v>
      </c>
      <c r="F164" s="1">
        <v>2644</v>
      </c>
      <c r="G164" s="37" t="str">
        <f>VLOOKUP(Table1[[#This Row],[WO'#]],Table2[#All],2,FALSE)</f>
        <v>Holiday Time FY20</v>
      </c>
      <c r="H164" s="20" t="s">
        <v>996</v>
      </c>
      <c r="I164" s="2">
        <v>43650</v>
      </c>
      <c r="J164" s="4">
        <f t="shared" si="19"/>
        <v>4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8</v>
      </c>
      <c r="Q164" s="3">
        <f t="shared" si="20"/>
        <v>8</v>
      </c>
      <c r="R164" s="1" t="s">
        <v>17</v>
      </c>
      <c r="S164" s="1" t="s">
        <v>23</v>
      </c>
      <c r="T164" s="3">
        <f t="shared" si="21"/>
        <v>0</v>
      </c>
      <c r="U164" s="44">
        <f>IF(Table1[[#This Row],[Initials]]="RM",$AE$10,IF(Table1[[#This Row],[Initials]]="JPH",$AE$11,IF(Table1[[#This Row],[Initials]]="IE",$AE$13,IF(Table1[[#This Row],[Initials]]="JM",$AE$14,1))))</f>
        <v>0.5</v>
      </c>
      <c r="V164" s="3">
        <f>Table1[[#This Row],[FTE %]]*Table1[[#This Row],[Time Worked]]</f>
        <v>4</v>
      </c>
      <c r="W16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164" s="38">
        <f t="shared" si="22"/>
        <v>0</v>
      </c>
      <c r="Y164" s="18">
        <f t="shared" si="23"/>
        <v>0</v>
      </c>
    </row>
    <row r="165" spans="1:25" x14ac:dyDescent="0.25">
      <c r="A165" s="10">
        <f t="shared" si="16"/>
        <v>164</v>
      </c>
      <c r="B165" s="6" t="str">
        <f t="shared" si="17"/>
        <v>9220192644IE</v>
      </c>
      <c r="C165" s="1" t="s">
        <v>969</v>
      </c>
      <c r="D165" s="1" t="s">
        <v>996</v>
      </c>
      <c r="E165" s="53" t="str">
        <f t="shared" si="18"/>
        <v>Holiday</v>
      </c>
      <c r="F165" s="1">
        <v>2644</v>
      </c>
      <c r="G165" s="37" t="str">
        <f>VLOOKUP(Table1[[#This Row],[WO'#]],Table2[#All],2,FALSE)</f>
        <v>Holiday Time FY20</v>
      </c>
      <c r="H165" s="20" t="s">
        <v>996</v>
      </c>
      <c r="I165" s="2">
        <v>43710</v>
      </c>
      <c r="J165" s="4">
        <f t="shared" si="19"/>
        <v>2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8</v>
      </c>
      <c r="Q165" s="3">
        <f t="shared" si="20"/>
        <v>8</v>
      </c>
      <c r="R165" s="1" t="s">
        <v>971</v>
      </c>
      <c r="S165" s="1" t="s">
        <v>23</v>
      </c>
      <c r="T165" s="3">
        <f t="shared" si="21"/>
        <v>0</v>
      </c>
      <c r="U165" s="44">
        <f>IF(Table1[[#This Row],[Initials]]="RM",$AE$10,IF(Table1[[#This Row],[Initials]]="JPH",$AE$11,IF(Table1[[#This Row],[Initials]]="IE",$AE$13,IF(Table1[[#This Row],[Initials]]="JM",$AE$14,1))))</f>
        <v>1</v>
      </c>
      <c r="V165" s="3">
        <f>Table1[[#This Row],[FTE %]]*Table1[[#This Row],[Time Worked]]</f>
        <v>8</v>
      </c>
      <c r="W16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165" s="38">
        <f t="shared" si="22"/>
        <v>0</v>
      </c>
      <c r="Y165" s="18">
        <f t="shared" si="23"/>
        <v>0</v>
      </c>
    </row>
    <row r="166" spans="1:25" x14ac:dyDescent="0.25">
      <c r="A166" s="10">
        <f t="shared" si="16"/>
        <v>165</v>
      </c>
      <c r="B166" s="6" t="str">
        <f t="shared" si="17"/>
        <v>9220192644JM</v>
      </c>
      <c r="C166" s="1" t="s">
        <v>969</v>
      </c>
      <c r="D166" s="1" t="s">
        <v>996</v>
      </c>
      <c r="E166" s="53" t="str">
        <f t="shared" si="18"/>
        <v>Holiday</v>
      </c>
      <c r="F166" s="1">
        <v>2644</v>
      </c>
      <c r="G166" s="37" t="str">
        <f>VLOOKUP(Table1[[#This Row],[WO'#]],Table2[#All],2,FALSE)</f>
        <v>Holiday Time FY20</v>
      </c>
      <c r="H166" s="20" t="s">
        <v>996</v>
      </c>
      <c r="I166" s="2">
        <v>43710</v>
      </c>
      <c r="J166" s="4">
        <f t="shared" si="19"/>
        <v>2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8</v>
      </c>
      <c r="Q166" s="3">
        <f t="shared" si="20"/>
        <v>8</v>
      </c>
      <c r="R166" s="1" t="s">
        <v>972</v>
      </c>
      <c r="S166" s="1" t="s">
        <v>23</v>
      </c>
      <c r="T166" s="3">
        <f t="shared" si="21"/>
        <v>0</v>
      </c>
      <c r="U166" s="44">
        <f>IF(Table1[[#This Row],[Initials]]="RM",$AE$10,IF(Table1[[#This Row],[Initials]]="JPH",$AE$11,IF(Table1[[#This Row],[Initials]]="IE",$AE$13,IF(Table1[[#This Row],[Initials]]="JM",$AE$14,1))))</f>
        <v>0.39500000000000002</v>
      </c>
      <c r="V166" s="3">
        <f>Table1[[#This Row],[FTE %]]*Table1[[#This Row],[Time Worked]]</f>
        <v>3.16</v>
      </c>
      <c r="W16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195.69880000000001</v>
      </c>
      <c r="X166" s="38">
        <f t="shared" si="22"/>
        <v>0</v>
      </c>
      <c r="Y166" s="18">
        <f t="shared" si="23"/>
        <v>0</v>
      </c>
    </row>
    <row r="167" spans="1:25" x14ac:dyDescent="0.25">
      <c r="A167" s="10">
        <f t="shared" si="16"/>
        <v>166</v>
      </c>
      <c r="B167" s="6" t="str">
        <f t="shared" si="17"/>
        <v>9220192644JPH</v>
      </c>
      <c r="C167" s="1" t="s">
        <v>969</v>
      </c>
      <c r="D167" s="1" t="s">
        <v>996</v>
      </c>
      <c r="E167" s="53" t="str">
        <f t="shared" si="18"/>
        <v>Holiday</v>
      </c>
      <c r="F167" s="1">
        <v>2644</v>
      </c>
      <c r="G167" s="37" t="str">
        <f>VLOOKUP(Table1[[#This Row],[WO'#]],Table2[#All],2,FALSE)</f>
        <v>Holiday Time FY20</v>
      </c>
      <c r="H167" s="20" t="s">
        <v>996</v>
      </c>
      <c r="I167" s="2">
        <v>43710</v>
      </c>
      <c r="J167" s="4">
        <f t="shared" si="19"/>
        <v>2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4.25</v>
      </c>
      <c r="Q167" s="3">
        <f t="shared" si="20"/>
        <v>4.25</v>
      </c>
      <c r="R167" s="1" t="s">
        <v>970</v>
      </c>
      <c r="S167" s="1" t="s">
        <v>23</v>
      </c>
      <c r="T167" s="3">
        <f t="shared" si="21"/>
        <v>0</v>
      </c>
      <c r="U167" s="44">
        <f>IF(Table1[[#This Row],[Initials]]="RM",$AE$10,IF(Table1[[#This Row],[Initials]]="JPH",$AE$11,IF(Table1[[#This Row],[Initials]]="IE",$AE$13,IF(Table1[[#This Row],[Initials]]="JM",$AE$14,1))))</f>
        <v>0.53</v>
      </c>
      <c r="V167" s="3">
        <f>Table1[[#This Row],[FTE %]]*Table1[[#This Row],[Time Worked]]</f>
        <v>2.2524999999999999</v>
      </c>
      <c r="W16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139.49732499999999</v>
      </c>
      <c r="X167" s="38">
        <f t="shared" si="22"/>
        <v>0</v>
      </c>
      <c r="Y167" s="18">
        <f t="shared" si="23"/>
        <v>0</v>
      </c>
    </row>
    <row r="168" spans="1:25" x14ac:dyDescent="0.25">
      <c r="A168" s="10">
        <f t="shared" si="16"/>
        <v>167</v>
      </c>
      <c r="B168" s="6" t="str">
        <f t="shared" si="17"/>
        <v>9220192644RM</v>
      </c>
      <c r="C168" s="1" t="s">
        <v>969</v>
      </c>
      <c r="D168" s="1" t="s">
        <v>996</v>
      </c>
      <c r="E168" s="53" t="str">
        <f t="shared" si="18"/>
        <v>Holiday</v>
      </c>
      <c r="F168" s="1">
        <v>2644</v>
      </c>
      <c r="G168" s="37" t="str">
        <f>VLOOKUP(Table1[[#This Row],[WO'#]],Table2[#All],2,FALSE)</f>
        <v>Holiday Time FY20</v>
      </c>
      <c r="H168" s="20" t="s">
        <v>996</v>
      </c>
      <c r="I168" s="2">
        <v>43710</v>
      </c>
      <c r="J168" s="4">
        <f t="shared" si="19"/>
        <v>2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8</v>
      </c>
      <c r="Q168" s="3">
        <f t="shared" si="20"/>
        <v>8</v>
      </c>
      <c r="R168" s="1" t="s">
        <v>17</v>
      </c>
      <c r="S168" s="1" t="s">
        <v>23</v>
      </c>
      <c r="T168" s="3">
        <f t="shared" si="21"/>
        <v>0</v>
      </c>
      <c r="U168" s="44">
        <f>IF(Table1[[#This Row],[Initials]]="RM",$AE$10,IF(Table1[[#This Row],[Initials]]="JPH",$AE$11,IF(Table1[[#This Row],[Initials]]="IE",$AE$13,IF(Table1[[#This Row],[Initials]]="JM",$AE$14,1))))</f>
        <v>0.5</v>
      </c>
      <c r="V168" s="3">
        <f>Table1[[#This Row],[FTE %]]*Table1[[#This Row],[Time Worked]]</f>
        <v>4</v>
      </c>
      <c r="W16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168" s="38">
        <f t="shared" si="22"/>
        <v>0</v>
      </c>
      <c r="Y168" s="18">
        <f t="shared" si="23"/>
        <v>0</v>
      </c>
    </row>
    <row r="169" spans="1:25" x14ac:dyDescent="0.25">
      <c r="A169" s="10">
        <f t="shared" si="16"/>
        <v>168</v>
      </c>
      <c r="B169" s="6" t="str">
        <f t="shared" si="17"/>
        <v>71020192646IE</v>
      </c>
      <c r="C169" s="1" t="s">
        <v>969</v>
      </c>
      <c r="D169" s="1" t="s">
        <v>996</v>
      </c>
      <c r="E169" s="53" t="str">
        <f t="shared" si="18"/>
        <v>Sick</v>
      </c>
      <c r="F169" s="1">
        <v>2646</v>
      </c>
      <c r="G169" s="37" t="str">
        <f>VLOOKUP(Table1[[#This Row],[WO'#]],Table2[#All],2,FALSE)</f>
        <v>Sick Time FY20</v>
      </c>
      <c r="H169" s="20" t="s">
        <v>996</v>
      </c>
      <c r="I169" s="2">
        <v>43656</v>
      </c>
      <c r="J169" s="4">
        <f t="shared" si="19"/>
        <v>10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0.75</v>
      </c>
      <c r="Q169" s="3">
        <f t="shared" si="20"/>
        <v>0.75</v>
      </c>
      <c r="R169" s="1" t="s">
        <v>971</v>
      </c>
      <c r="S169" s="1" t="s">
        <v>23</v>
      </c>
      <c r="T169" s="3">
        <f t="shared" si="21"/>
        <v>0</v>
      </c>
      <c r="U169" s="44">
        <f>IF(Table1[[#This Row],[Initials]]="RM",$AE$10,IF(Table1[[#This Row],[Initials]]="JPH",$AE$11,IF(Table1[[#This Row],[Initials]]="IE",$AE$13,IF(Table1[[#This Row],[Initials]]="JM",$AE$14,1))))</f>
        <v>1</v>
      </c>
      <c r="V169" s="3">
        <f>Table1[[#This Row],[FTE %]]*Table1[[#This Row],[Time Worked]]</f>
        <v>0.75</v>
      </c>
      <c r="W16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169" s="38">
        <f t="shared" si="22"/>
        <v>0</v>
      </c>
      <c r="Y169" s="18">
        <f t="shared" si="23"/>
        <v>0</v>
      </c>
    </row>
    <row r="170" spans="1:25" x14ac:dyDescent="0.25">
      <c r="A170" s="10">
        <f t="shared" si="16"/>
        <v>169</v>
      </c>
      <c r="B170" s="6" t="str">
        <f t="shared" si="17"/>
        <v>71520192646RM</v>
      </c>
      <c r="C170" s="1" t="s">
        <v>969</v>
      </c>
      <c r="D170" s="1" t="s">
        <v>996</v>
      </c>
      <c r="E170" s="53" t="str">
        <f t="shared" si="18"/>
        <v>Sick</v>
      </c>
      <c r="F170" s="1">
        <v>2646</v>
      </c>
      <c r="G170" s="37" t="str">
        <f>VLOOKUP(Table1[[#This Row],[WO'#]],Table2[#All],2,FALSE)</f>
        <v>Sick Time FY20</v>
      </c>
      <c r="H170" s="20" t="s">
        <v>996</v>
      </c>
      <c r="I170" s="2">
        <v>43661</v>
      </c>
      <c r="J170" s="4">
        <f t="shared" si="19"/>
        <v>15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5</v>
      </c>
      <c r="Q170" s="3">
        <f t="shared" si="20"/>
        <v>5</v>
      </c>
      <c r="R170" s="1" t="s">
        <v>17</v>
      </c>
      <c r="S170" s="1" t="s">
        <v>23</v>
      </c>
      <c r="T170" s="3">
        <f t="shared" si="21"/>
        <v>0</v>
      </c>
      <c r="U170" s="44">
        <f>IF(Table1[[#This Row],[Initials]]="RM",$AE$10,IF(Table1[[#This Row],[Initials]]="JPH",$AE$11,IF(Table1[[#This Row],[Initials]]="IE",$AE$13,IF(Table1[[#This Row],[Initials]]="JM",$AE$14,1))))</f>
        <v>0.5</v>
      </c>
      <c r="V170" s="3">
        <f>Table1[[#This Row],[FTE %]]*Table1[[#This Row],[Time Worked]]</f>
        <v>2.5</v>
      </c>
      <c r="W17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170" s="38">
        <f t="shared" si="22"/>
        <v>0</v>
      </c>
      <c r="Y170" s="18">
        <f t="shared" si="23"/>
        <v>0</v>
      </c>
    </row>
    <row r="171" spans="1:25" x14ac:dyDescent="0.25">
      <c r="A171" s="10">
        <f t="shared" si="16"/>
        <v>170</v>
      </c>
      <c r="B171" s="6" t="str">
        <f t="shared" si="17"/>
        <v>72320192646RM</v>
      </c>
      <c r="C171" s="1" t="s">
        <v>969</v>
      </c>
      <c r="D171" s="1" t="s">
        <v>996</v>
      </c>
      <c r="E171" s="53" t="str">
        <f t="shared" si="18"/>
        <v>Sick</v>
      </c>
      <c r="F171" s="1">
        <v>2646</v>
      </c>
      <c r="G171" s="37" t="str">
        <f>VLOOKUP(Table1[[#This Row],[WO'#]],Table2[#All],2,FALSE)</f>
        <v>Sick Time FY20</v>
      </c>
      <c r="H171" s="20" t="s">
        <v>996</v>
      </c>
      <c r="I171" s="2">
        <v>43669</v>
      </c>
      <c r="J171" s="4">
        <f t="shared" si="19"/>
        <v>23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4</v>
      </c>
      <c r="Q171" s="3">
        <f t="shared" si="20"/>
        <v>4</v>
      </c>
      <c r="R171" s="1" t="s">
        <v>17</v>
      </c>
      <c r="S171" s="1" t="s">
        <v>23</v>
      </c>
      <c r="T171" s="3">
        <f t="shared" si="21"/>
        <v>0</v>
      </c>
      <c r="U171" s="44">
        <f>IF(Table1[[#This Row],[Initials]]="RM",$AE$10,IF(Table1[[#This Row],[Initials]]="JPH",$AE$11,IF(Table1[[#This Row],[Initials]]="IE",$AE$13,IF(Table1[[#This Row],[Initials]]="JM",$AE$14,1))))</f>
        <v>0.5</v>
      </c>
      <c r="V171" s="3">
        <f>Table1[[#This Row],[FTE %]]*Table1[[#This Row],[Time Worked]]</f>
        <v>2</v>
      </c>
      <c r="W17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71" s="38">
        <f t="shared" si="22"/>
        <v>0</v>
      </c>
      <c r="Y171" s="18">
        <f t="shared" si="23"/>
        <v>0</v>
      </c>
    </row>
    <row r="172" spans="1:25" x14ac:dyDescent="0.25">
      <c r="A172" s="10">
        <f t="shared" si="16"/>
        <v>171</v>
      </c>
      <c r="B172" s="6" t="str">
        <f t="shared" si="17"/>
        <v>72420192646RM</v>
      </c>
      <c r="C172" s="1" t="s">
        <v>969</v>
      </c>
      <c r="D172" s="1" t="s">
        <v>996</v>
      </c>
      <c r="E172" s="53" t="str">
        <f t="shared" si="18"/>
        <v>Sick</v>
      </c>
      <c r="F172" s="1">
        <v>2646</v>
      </c>
      <c r="G172" s="37" t="str">
        <f>VLOOKUP(Table1[[#This Row],[WO'#]],Table2[#All],2,FALSE)</f>
        <v>Sick Time FY20</v>
      </c>
      <c r="H172" s="20" t="s">
        <v>996</v>
      </c>
      <c r="I172" s="2">
        <v>43670</v>
      </c>
      <c r="J172" s="4">
        <f t="shared" si="19"/>
        <v>24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4</v>
      </c>
      <c r="Q172" s="3">
        <f t="shared" si="20"/>
        <v>4</v>
      </c>
      <c r="R172" s="1" t="s">
        <v>17</v>
      </c>
      <c r="S172" s="1" t="s">
        <v>23</v>
      </c>
      <c r="T172" s="3">
        <f t="shared" si="21"/>
        <v>0</v>
      </c>
      <c r="U172" s="44">
        <f>IF(Table1[[#This Row],[Initials]]="RM",$AE$10,IF(Table1[[#This Row],[Initials]]="JPH",$AE$11,IF(Table1[[#This Row],[Initials]]="IE",$AE$13,IF(Table1[[#This Row],[Initials]]="JM",$AE$14,1))))</f>
        <v>0.5</v>
      </c>
      <c r="V172" s="3">
        <f>Table1[[#This Row],[FTE %]]*Table1[[#This Row],[Time Worked]]</f>
        <v>2</v>
      </c>
      <c r="W17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72" s="38">
        <f t="shared" si="22"/>
        <v>0</v>
      </c>
      <c r="Y172" s="18">
        <f t="shared" si="23"/>
        <v>0</v>
      </c>
    </row>
    <row r="173" spans="1:25" x14ac:dyDescent="0.25">
      <c r="A173" s="10">
        <f t="shared" si="16"/>
        <v>172</v>
      </c>
      <c r="B173" s="6" t="str">
        <f t="shared" si="17"/>
        <v>8720192646IE</v>
      </c>
      <c r="C173" s="1" t="s">
        <v>969</v>
      </c>
      <c r="D173" s="1" t="s">
        <v>996</v>
      </c>
      <c r="E173" s="53" t="str">
        <f t="shared" si="18"/>
        <v>Sick</v>
      </c>
      <c r="F173" s="1">
        <v>2646</v>
      </c>
      <c r="G173" s="37" t="str">
        <f>VLOOKUP(Table1[[#This Row],[WO'#]],Table2[#All],2,FALSE)</f>
        <v>Sick Time FY20</v>
      </c>
      <c r="H173" s="20" t="s">
        <v>996</v>
      </c>
      <c r="I173" s="2">
        <v>43684</v>
      </c>
      <c r="J173" s="4">
        <f t="shared" si="19"/>
        <v>7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1.75</v>
      </c>
      <c r="Q173" s="3">
        <f t="shared" si="20"/>
        <v>1.75</v>
      </c>
      <c r="R173" s="1" t="s">
        <v>971</v>
      </c>
      <c r="S173" s="1" t="s">
        <v>23</v>
      </c>
      <c r="T173" s="3">
        <f t="shared" si="21"/>
        <v>0</v>
      </c>
      <c r="U173" s="44">
        <f>IF(Table1[[#This Row],[Initials]]="RM",$AE$10,IF(Table1[[#This Row],[Initials]]="JPH",$AE$11,IF(Table1[[#This Row],[Initials]]="IE",$AE$13,IF(Table1[[#This Row],[Initials]]="JM",$AE$14,1))))</f>
        <v>1</v>
      </c>
      <c r="V173" s="3">
        <f>Table1[[#This Row],[FTE %]]*Table1[[#This Row],[Time Worked]]</f>
        <v>1.75</v>
      </c>
      <c r="W17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173" s="38">
        <f t="shared" si="22"/>
        <v>0</v>
      </c>
      <c r="Y173" s="18">
        <f t="shared" si="23"/>
        <v>0</v>
      </c>
    </row>
    <row r="174" spans="1:25" x14ac:dyDescent="0.25">
      <c r="A174" s="10">
        <f t="shared" si="16"/>
        <v>173</v>
      </c>
      <c r="B174" s="6" t="str">
        <f t="shared" si="17"/>
        <v>81220192646IE</v>
      </c>
      <c r="C174" s="1" t="s">
        <v>969</v>
      </c>
      <c r="D174" s="1" t="s">
        <v>996</v>
      </c>
      <c r="E174" s="53" t="str">
        <f t="shared" si="18"/>
        <v>Sick</v>
      </c>
      <c r="F174" s="1">
        <v>2646</v>
      </c>
      <c r="G174" s="37" t="str">
        <f>VLOOKUP(Table1[[#This Row],[WO'#]],Table2[#All],2,FALSE)</f>
        <v>Sick Time FY20</v>
      </c>
      <c r="H174" s="20" t="s">
        <v>996</v>
      </c>
      <c r="I174" s="2">
        <v>43689</v>
      </c>
      <c r="J174" s="4">
        <f t="shared" si="19"/>
        <v>12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5</v>
      </c>
      <c r="Q174" s="3">
        <f t="shared" si="20"/>
        <v>5</v>
      </c>
      <c r="R174" s="1" t="s">
        <v>971</v>
      </c>
      <c r="S174" s="1" t="s">
        <v>23</v>
      </c>
      <c r="T174" s="3">
        <f t="shared" si="21"/>
        <v>0</v>
      </c>
      <c r="U174" s="44">
        <f>IF(Table1[[#This Row],[Initials]]="RM",$AE$10,IF(Table1[[#This Row],[Initials]]="JPH",$AE$11,IF(Table1[[#This Row],[Initials]]="IE",$AE$13,IF(Table1[[#This Row],[Initials]]="JM",$AE$14,1))))</f>
        <v>1</v>
      </c>
      <c r="V174" s="3">
        <f>Table1[[#This Row],[FTE %]]*Table1[[#This Row],[Time Worked]]</f>
        <v>5</v>
      </c>
      <c r="W17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174" s="38">
        <f t="shared" si="22"/>
        <v>0</v>
      </c>
      <c r="Y174" s="18">
        <f t="shared" si="23"/>
        <v>0</v>
      </c>
    </row>
    <row r="175" spans="1:25" x14ac:dyDescent="0.25">
      <c r="A175" s="10">
        <f t="shared" si="16"/>
        <v>174</v>
      </c>
      <c r="B175" s="6" t="str">
        <f t="shared" si="17"/>
        <v>82320192646IE</v>
      </c>
      <c r="C175" s="1" t="s">
        <v>969</v>
      </c>
      <c r="D175" s="1" t="s">
        <v>996</v>
      </c>
      <c r="E175" s="53" t="str">
        <f t="shared" si="18"/>
        <v>Sick</v>
      </c>
      <c r="F175" s="1">
        <v>2646</v>
      </c>
      <c r="G175" s="37" t="str">
        <f>VLOOKUP(Table1[[#This Row],[WO'#]],Table2[#All],2,FALSE)</f>
        <v>Sick Time FY20</v>
      </c>
      <c r="H175" s="20" t="s">
        <v>996</v>
      </c>
      <c r="I175" s="2">
        <v>43700</v>
      </c>
      <c r="J175" s="4">
        <f t="shared" si="19"/>
        <v>23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4.5</v>
      </c>
      <c r="Q175" s="3">
        <f t="shared" si="20"/>
        <v>4.5</v>
      </c>
      <c r="R175" s="1" t="s">
        <v>971</v>
      </c>
      <c r="S175" s="1" t="s">
        <v>23</v>
      </c>
      <c r="T175" s="3">
        <f t="shared" si="21"/>
        <v>0</v>
      </c>
      <c r="U175" s="44">
        <f>IF(Table1[[#This Row],[Initials]]="RM",$AE$10,IF(Table1[[#This Row],[Initials]]="JPH",$AE$11,IF(Table1[[#This Row],[Initials]]="IE",$AE$13,IF(Table1[[#This Row],[Initials]]="JM",$AE$14,1))))</f>
        <v>1</v>
      </c>
      <c r="V175" s="3">
        <f>Table1[[#This Row],[FTE %]]*Table1[[#This Row],[Time Worked]]</f>
        <v>4.5</v>
      </c>
      <c r="W17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175" s="38">
        <f t="shared" si="22"/>
        <v>0</v>
      </c>
      <c r="Y175" s="18">
        <f t="shared" si="23"/>
        <v>0</v>
      </c>
    </row>
    <row r="176" spans="1:25" x14ac:dyDescent="0.25">
      <c r="A176" s="10">
        <f t="shared" si="16"/>
        <v>175</v>
      </c>
      <c r="B176" s="6" t="str">
        <f t="shared" si="17"/>
        <v>7220192600JM</v>
      </c>
      <c r="C176" s="1" t="s">
        <v>1</v>
      </c>
      <c r="D176" s="1" t="s">
        <v>996</v>
      </c>
      <c r="E176" s="53" t="str">
        <f t="shared" si="18"/>
        <v>Match</v>
      </c>
      <c r="F176" s="1">
        <v>2600</v>
      </c>
      <c r="G176" s="37" t="str">
        <f>VLOOKUP(Table1[[#This Row],[WO'#]],Table2[#All],2,FALSE)</f>
        <v>SM18 Master</v>
      </c>
      <c r="H176" s="20" t="s">
        <v>996</v>
      </c>
      <c r="I176" s="2">
        <v>43648</v>
      </c>
      <c r="J176" s="4">
        <f t="shared" si="19"/>
        <v>2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3</v>
      </c>
      <c r="Q176" s="3">
        <f t="shared" si="20"/>
        <v>3</v>
      </c>
      <c r="R176" s="1" t="s">
        <v>972</v>
      </c>
      <c r="S176" s="1" t="s">
        <v>23</v>
      </c>
      <c r="T176" s="3">
        <f t="shared" si="21"/>
        <v>0</v>
      </c>
      <c r="U176" s="44">
        <f>IF(Table1[[#This Row],[Initials]]="RM",$AE$10,IF(Table1[[#This Row],[Initials]]="JPH",$AE$11,IF(Table1[[#This Row],[Initials]]="IE",$AE$13,IF(Table1[[#This Row],[Initials]]="JM",$AE$14,1))))</f>
        <v>0.39500000000000002</v>
      </c>
      <c r="V176" s="3">
        <f>Table1[[#This Row],[FTE %]]*Table1[[#This Row],[Time Worked]]</f>
        <v>1.1850000000000001</v>
      </c>
      <c r="W17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76" s="38">
        <f t="shared" si="22"/>
        <v>0</v>
      </c>
      <c r="Y176" s="18">
        <f t="shared" si="23"/>
        <v>0</v>
      </c>
    </row>
    <row r="177" spans="1:25" x14ac:dyDescent="0.25">
      <c r="A177" s="10">
        <f t="shared" si="16"/>
        <v>176</v>
      </c>
      <c r="B177" s="6" t="str">
        <f t="shared" si="17"/>
        <v>71020192600JM</v>
      </c>
      <c r="C177" s="1" t="s">
        <v>1</v>
      </c>
      <c r="D177" s="1" t="s">
        <v>996</v>
      </c>
      <c r="E177" s="53" t="str">
        <f t="shared" si="18"/>
        <v>Match</v>
      </c>
      <c r="F177" s="1">
        <v>2600</v>
      </c>
      <c r="G177" s="37" t="str">
        <f>VLOOKUP(Table1[[#This Row],[WO'#]],Table2[#All],2,FALSE)</f>
        <v>SM18 Master</v>
      </c>
      <c r="H177" s="20" t="s">
        <v>996</v>
      </c>
      <c r="I177" s="2">
        <v>43656</v>
      </c>
      <c r="J177" s="4">
        <f t="shared" si="19"/>
        <v>10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1.5</v>
      </c>
      <c r="Q177" s="3">
        <f t="shared" si="20"/>
        <v>1.5</v>
      </c>
      <c r="R177" s="1" t="s">
        <v>972</v>
      </c>
      <c r="S177" s="1" t="s">
        <v>23</v>
      </c>
      <c r="T177" s="3">
        <f t="shared" si="21"/>
        <v>0</v>
      </c>
      <c r="U177" s="44">
        <f>IF(Table1[[#This Row],[Initials]]="RM",$AE$10,IF(Table1[[#This Row],[Initials]]="JPH",$AE$11,IF(Table1[[#This Row],[Initials]]="IE",$AE$13,IF(Table1[[#This Row],[Initials]]="JM",$AE$14,1))))</f>
        <v>0.39500000000000002</v>
      </c>
      <c r="V177" s="3">
        <f>Table1[[#This Row],[FTE %]]*Table1[[#This Row],[Time Worked]]</f>
        <v>0.59250000000000003</v>
      </c>
      <c r="W17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177" s="38">
        <f t="shared" si="22"/>
        <v>0</v>
      </c>
      <c r="Y177" s="18">
        <f t="shared" si="23"/>
        <v>0</v>
      </c>
    </row>
    <row r="178" spans="1:25" x14ac:dyDescent="0.25">
      <c r="A178" s="10">
        <f t="shared" si="16"/>
        <v>177</v>
      </c>
      <c r="B178" s="6" t="str">
        <f t="shared" si="17"/>
        <v>72520192600JM</v>
      </c>
      <c r="C178" s="1" t="s">
        <v>1</v>
      </c>
      <c r="D178" s="1" t="s">
        <v>996</v>
      </c>
      <c r="E178" s="53" t="str">
        <f t="shared" si="18"/>
        <v>Match</v>
      </c>
      <c r="F178" s="1">
        <v>2600</v>
      </c>
      <c r="G178" s="37" t="str">
        <f>VLOOKUP(Table1[[#This Row],[WO'#]],Table2[#All],2,FALSE)</f>
        <v>SM18 Master</v>
      </c>
      <c r="H178" s="20" t="s">
        <v>996</v>
      </c>
      <c r="I178" s="2">
        <v>43671</v>
      </c>
      <c r="J178" s="4">
        <f t="shared" si="19"/>
        <v>25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1.75</v>
      </c>
      <c r="Q178" s="3">
        <f t="shared" si="20"/>
        <v>1.75</v>
      </c>
      <c r="R178" s="1" t="s">
        <v>972</v>
      </c>
      <c r="S178" s="1" t="s">
        <v>23</v>
      </c>
      <c r="T178" s="3">
        <f t="shared" si="21"/>
        <v>0</v>
      </c>
      <c r="U178" s="44">
        <f>IF(Table1[[#This Row],[Initials]]="RM",$AE$10,IF(Table1[[#This Row],[Initials]]="JPH",$AE$11,IF(Table1[[#This Row],[Initials]]="IE",$AE$13,IF(Table1[[#This Row],[Initials]]="JM",$AE$14,1))))</f>
        <v>0.39500000000000002</v>
      </c>
      <c r="V178" s="3">
        <f>Table1[[#This Row],[FTE %]]*Table1[[#This Row],[Time Worked]]</f>
        <v>0.69125000000000003</v>
      </c>
      <c r="W17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178" s="38">
        <f t="shared" si="22"/>
        <v>0</v>
      </c>
      <c r="Y178" s="18">
        <f t="shared" si="23"/>
        <v>0</v>
      </c>
    </row>
    <row r="179" spans="1:25" x14ac:dyDescent="0.25">
      <c r="A179" s="10">
        <f t="shared" si="16"/>
        <v>178</v>
      </c>
      <c r="B179" s="6" t="str">
        <f t="shared" si="17"/>
        <v>8220192600JM</v>
      </c>
      <c r="C179" s="1" t="s">
        <v>1</v>
      </c>
      <c r="D179" s="1" t="s">
        <v>996</v>
      </c>
      <c r="E179" s="53" t="str">
        <f t="shared" si="18"/>
        <v>Match</v>
      </c>
      <c r="F179" s="1">
        <v>2600</v>
      </c>
      <c r="G179" s="37" t="str">
        <f>VLOOKUP(Table1[[#This Row],[WO'#]],Table2[#All],2,FALSE)</f>
        <v>SM18 Master</v>
      </c>
      <c r="H179" s="20" t="s">
        <v>996</v>
      </c>
      <c r="I179" s="2">
        <v>43679</v>
      </c>
      <c r="J179" s="4">
        <f t="shared" si="19"/>
        <v>2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6.75</v>
      </c>
      <c r="Q179" s="3">
        <f t="shared" si="20"/>
        <v>6.75</v>
      </c>
      <c r="R179" s="1" t="s">
        <v>972</v>
      </c>
      <c r="S179" s="1" t="s">
        <v>23</v>
      </c>
      <c r="T179" s="3">
        <f t="shared" si="21"/>
        <v>0</v>
      </c>
      <c r="U179" s="44">
        <f>IF(Table1[[#This Row],[Initials]]="RM",$AE$10,IF(Table1[[#This Row],[Initials]]="JPH",$AE$11,IF(Table1[[#This Row],[Initials]]="IE",$AE$13,IF(Table1[[#This Row],[Initials]]="JM",$AE$14,1))))</f>
        <v>0.39500000000000002</v>
      </c>
      <c r="V179" s="3">
        <f>Table1[[#This Row],[FTE %]]*Table1[[#This Row],[Time Worked]]</f>
        <v>2.6662500000000002</v>
      </c>
      <c r="W17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418.02749999999997</v>
      </c>
      <c r="X179" s="38">
        <f t="shared" si="22"/>
        <v>0</v>
      </c>
      <c r="Y179" s="18">
        <f t="shared" si="23"/>
        <v>0</v>
      </c>
    </row>
    <row r="180" spans="1:25" x14ac:dyDescent="0.25">
      <c r="A180" s="10">
        <f t="shared" si="16"/>
        <v>179</v>
      </c>
      <c r="B180" s="6" t="str">
        <f t="shared" si="17"/>
        <v>8620192600JM</v>
      </c>
      <c r="C180" s="1" t="s">
        <v>1</v>
      </c>
      <c r="D180" s="1" t="s">
        <v>996</v>
      </c>
      <c r="E180" s="53" t="str">
        <f t="shared" si="18"/>
        <v>Match</v>
      </c>
      <c r="F180" s="1">
        <v>2600</v>
      </c>
      <c r="G180" s="37" t="str">
        <f>VLOOKUP(Table1[[#This Row],[WO'#]],Table2[#All],2,FALSE)</f>
        <v>SM18 Master</v>
      </c>
      <c r="H180" s="20" t="s">
        <v>996</v>
      </c>
      <c r="I180" s="2">
        <v>43683</v>
      </c>
      <c r="J180" s="4">
        <f t="shared" si="19"/>
        <v>6</v>
      </c>
      <c r="K180" s="3">
        <v>0</v>
      </c>
      <c r="L180" s="3">
        <v>0</v>
      </c>
      <c r="M180" s="3">
        <v>0</v>
      </c>
      <c r="N180" s="3">
        <v>0</v>
      </c>
      <c r="O180" s="3">
        <v>0</v>
      </c>
      <c r="P180" s="3">
        <v>4</v>
      </c>
      <c r="Q180" s="3">
        <f t="shared" si="20"/>
        <v>4</v>
      </c>
      <c r="R180" s="1" t="s">
        <v>972</v>
      </c>
      <c r="S180" s="1" t="s">
        <v>23</v>
      </c>
      <c r="T180" s="3">
        <f t="shared" si="21"/>
        <v>0</v>
      </c>
      <c r="U180" s="44">
        <f>IF(Table1[[#This Row],[Initials]]="RM",$AE$10,IF(Table1[[#This Row],[Initials]]="JPH",$AE$11,IF(Table1[[#This Row],[Initials]]="IE",$AE$13,IF(Table1[[#This Row],[Initials]]="JM",$AE$14,1))))</f>
        <v>0.39500000000000002</v>
      </c>
      <c r="V180" s="3">
        <f>Table1[[#This Row],[FTE %]]*Table1[[#This Row],[Time Worked]]</f>
        <v>1.58</v>
      </c>
      <c r="W18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180" s="38">
        <f t="shared" si="22"/>
        <v>0</v>
      </c>
      <c r="Y180" s="18">
        <f t="shared" si="23"/>
        <v>0</v>
      </c>
    </row>
    <row r="181" spans="1:25" x14ac:dyDescent="0.25">
      <c r="A181" s="10">
        <f t="shared" si="16"/>
        <v>180</v>
      </c>
      <c r="B181" s="6" t="str">
        <f t="shared" si="17"/>
        <v>8720192600JM</v>
      </c>
      <c r="C181" s="1" t="s">
        <v>1</v>
      </c>
      <c r="D181" s="1" t="s">
        <v>996</v>
      </c>
      <c r="E181" s="53" t="str">
        <f t="shared" si="18"/>
        <v>Match</v>
      </c>
      <c r="F181" s="1">
        <v>2600</v>
      </c>
      <c r="G181" s="37" t="str">
        <f>VLOOKUP(Table1[[#This Row],[WO'#]],Table2[#All],2,FALSE)</f>
        <v>SM18 Master</v>
      </c>
      <c r="H181" s="20" t="s">
        <v>996</v>
      </c>
      <c r="I181" s="2">
        <v>43684</v>
      </c>
      <c r="J181" s="4">
        <f t="shared" si="19"/>
        <v>7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3</v>
      </c>
      <c r="Q181" s="3">
        <f t="shared" si="20"/>
        <v>3</v>
      </c>
      <c r="R181" s="1" t="s">
        <v>972</v>
      </c>
      <c r="S181" s="1" t="s">
        <v>23</v>
      </c>
      <c r="T181" s="3">
        <f t="shared" si="21"/>
        <v>0</v>
      </c>
      <c r="U181" s="44">
        <f>IF(Table1[[#This Row],[Initials]]="RM",$AE$10,IF(Table1[[#This Row],[Initials]]="JPH",$AE$11,IF(Table1[[#This Row],[Initials]]="IE",$AE$13,IF(Table1[[#This Row],[Initials]]="JM",$AE$14,1))))</f>
        <v>0.39500000000000002</v>
      </c>
      <c r="V181" s="3">
        <f>Table1[[#This Row],[FTE %]]*Table1[[#This Row],[Time Worked]]</f>
        <v>1.1850000000000001</v>
      </c>
      <c r="W18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181" s="38">
        <f t="shared" si="22"/>
        <v>0</v>
      </c>
      <c r="Y181" s="18">
        <f t="shared" si="23"/>
        <v>0</v>
      </c>
    </row>
    <row r="182" spans="1:25" x14ac:dyDescent="0.25">
      <c r="A182" s="10">
        <f t="shared" si="16"/>
        <v>181</v>
      </c>
      <c r="B182" s="6" t="str">
        <f t="shared" si="17"/>
        <v>8820192600JM</v>
      </c>
      <c r="C182" s="1" t="s">
        <v>1</v>
      </c>
      <c r="D182" s="1" t="s">
        <v>996</v>
      </c>
      <c r="E182" s="53" t="str">
        <f t="shared" si="18"/>
        <v>Match</v>
      </c>
      <c r="F182" s="1">
        <v>2600</v>
      </c>
      <c r="G182" s="37" t="str">
        <f>VLOOKUP(Table1[[#This Row],[WO'#]],Table2[#All],2,FALSE)</f>
        <v>SM18 Master</v>
      </c>
      <c r="H182" s="20" t="s">
        <v>996</v>
      </c>
      <c r="I182" s="2">
        <v>43685</v>
      </c>
      <c r="J182" s="4">
        <f t="shared" si="19"/>
        <v>8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2.5</v>
      </c>
      <c r="Q182" s="3">
        <f t="shared" si="20"/>
        <v>2.5</v>
      </c>
      <c r="R182" s="1" t="s">
        <v>972</v>
      </c>
      <c r="S182" s="1" t="s">
        <v>23</v>
      </c>
      <c r="T182" s="3">
        <f t="shared" si="21"/>
        <v>0</v>
      </c>
      <c r="U182" s="44">
        <f>IF(Table1[[#This Row],[Initials]]="RM",$AE$10,IF(Table1[[#This Row],[Initials]]="JPH",$AE$11,IF(Table1[[#This Row],[Initials]]="IE",$AE$13,IF(Table1[[#This Row],[Initials]]="JM",$AE$14,1))))</f>
        <v>0.39500000000000002</v>
      </c>
      <c r="V182" s="3">
        <f>Table1[[#This Row],[FTE %]]*Table1[[#This Row],[Time Worked]]</f>
        <v>0.98750000000000004</v>
      </c>
      <c r="W18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182" s="38">
        <f t="shared" si="22"/>
        <v>0</v>
      </c>
      <c r="Y182" s="18">
        <f t="shared" si="23"/>
        <v>0</v>
      </c>
    </row>
    <row r="183" spans="1:25" x14ac:dyDescent="0.25">
      <c r="A183" s="10">
        <f t="shared" si="16"/>
        <v>182</v>
      </c>
      <c r="B183" s="6" t="str">
        <f t="shared" si="17"/>
        <v>8920192600JM</v>
      </c>
      <c r="C183" s="1" t="s">
        <v>1</v>
      </c>
      <c r="D183" s="1" t="s">
        <v>996</v>
      </c>
      <c r="E183" s="53" t="str">
        <f t="shared" si="18"/>
        <v>Match</v>
      </c>
      <c r="F183" s="1">
        <v>2600</v>
      </c>
      <c r="G183" s="37" t="str">
        <f>VLOOKUP(Table1[[#This Row],[WO'#]],Table2[#All],2,FALSE)</f>
        <v>SM18 Master</v>
      </c>
      <c r="H183" s="20" t="s">
        <v>996</v>
      </c>
      <c r="I183" s="2">
        <v>43686</v>
      </c>
      <c r="J183" s="4">
        <f t="shared" si="19"/>
        <v>9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2</v>
      </c>
      <c r="Q183" s="3">
        <f t="shared" si="20"/>
        <v>2</v>
      </c>
      <c r="R183" s="1" t="s">
        <v>972</v>
      </c>
      <c r="S183" s="1" t="s">
        <v>23</v>
      </c>
      <c r="T183" s="3">
        <f t="shared" si="21"/>
        <v>0</v>
      </c>
      <c r="U183" s="44">
        <f>IF(Table1[[#This Row],[Initials]]="RM",$AE$10,IF(Table1[[#This Row],[Initials]]="JPH",$AE$11,IF(Table1[[#This Row],[Initials]]="IE",$AE$13,IF(Table1[[#This Row],[Initials]]="JM",$AE$14,1))))</f>
        <v>0.39500000000000002</v>
      </c>
      <c r="V183" s="3">
        <f>Table1[[#This Row],[FTE %]]*Table1[[#This Row],[Time Worked]]</f>
        <v>0.79</v>
      </c>
      <c r="W18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83" s="38">
        <f t="shared" si="22"/>
        <v>0</v>
      </c>
      <c r="Y183" s="18">
        <f t="shared" si="23"/>
        <v>0</v>
      </c>
    </row>
    <row r="184" spans="1:25" x14ac:dyDescent="0.25">
      <c r="A184" s="10">
        <f t="shared" si="16"/>
        <v>183</v>
      </c>
      <c r="B184" s="6" t="str">
        <f t="shared" si="17"/>
        <v>81320192600JM</v>
      </c>
      <c r="C184" s="1" t="s">
        <v>1</v>
      </c>
      <c r="D184" s="1" t="s">
        <v>996</v>
      </c>
      <c r="E184" s="53" t="str">
        <f t="shared" si="18"/>
        <v>Match</v>
      </c>
      <c r="F184" s="1">
        <v>2600</v>
      </c>
      <c r="G184" s="37" t="str">
        <f>VLOOKUP(Table1[[#This Row],[WO'#]],Table2[#All],2,FALSE)</f>
        <v>SM18 Master</v>
      </c>
      <c r="H184" s="20" t="s">
        <v>996</v>
      </c>
      <c r="I184" s="2">
        <v>43690</v>
      </c>
      <c r="J184" s="4">
        <f t="shared" si="19"/>
        <v>13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1.75</v>
      </c>
      <c r="Q184" s="3">
        <f t="shared" si="20"/>
        <v>1.75</v>
      </c>
      <c r="R184" s="1" t="s">
        <v>972</v>
      </c>
      <c r="S184" s="1" t="s">
        <v>23</v>
      </c>
      <c r="T184" s="3">
        <f t="shared" si="21"/>
        <v>0</v>
      </c>
      <c r="U184" s="44">
        <f>IF(Table1[[#This Row],[Initials]]="RM",$AE$10,IF(Table1[[#This Row],[Initials]]="JPH",$AE$11,IF(Table1[[#This Row],[Initials]]="IE",$AE$13,IF(Table1[[#This Row],[Initials]]="JM",$AE$14,1))))</f>
        <v>0.39500000000000002</v>
      </c>
      <c r="V184" s="3">
        <f>Table1[[#This Row],[FTE %]]*Table1[[#This Row],[Time Worked]]</f>
        <v>0.69125000000000003</v>
      </c>
      <c r="W18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184" s="38">
        <f t="shared" si="22"/>
        <v>0</v>
      </c>
      <c r="Y184" s="18">
        <f t="shared" si="23"/>
        <v>0</v>
      </c>
    </row>
    <row r="185" spans="1:25" x14ac:dyDescent="0.25">
      <c r="A185" s="10">
        <f t="shared" si="16"/>
        <v>184</v>
      </c>
      <c r="B185" s="6" t="str">
        <f t="shared" si="17"/>
        <v>81520192600JM</v>
      </c>
      <c r="C185" s="1" t="s">
        <v>1</v>
      </c>
      <c r="D185" s="1" t="s">
        <v>996</v>
      </c>
      <c r="E185" s="53" t="str">
        <f t="shared" si="18"/>
        <v>Match</v>
      </c>
      <c r="F185" s="1">
        <v>2600</v>
      </c>
      <c r="G185" s="37" t="str">
        <f>VLOOKUP(Table1[[#This Row],[WO'#]],Table2[#All],2,FALSE)</f>
        <v>SM18 Master</v>
      </c>
      <c r="H185" s="20" t="s">
        <v>996</v>
      </c>
      <c r="I185" s="2">
        <v>43692</v>
      </c>
      <c r="J185" s="4">
        <f t="shared" si="19"/>
        <v>15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2.75</v>
      </c>
      <c r="Q185" s="3">
        <f t="shared" si="20"/>
        <v>2.75</v>
      </c>
      <c r="R185" s="1" t="s">
        <v>972</v>
      </c>
      <c r="S185" s="1" t="s">
        <v>23</v>
      </c>
      <c r="T185" s="3">
        <f t="shared" si="21"/>
        <v>0</v>
      </c>
      <c r="U185" s="44">
        <f>IF(Table1[[#This Row],[Initials]]="RM",$AE$10,IF(Table1[[#This Row],[Initials]]="JPH",$AE$11,IF(Table1[[#This Row],[Initials]]="IE",$AE$13,IF(Table1[[#This Row],[Initials]]="JM",$AE$14,1))))</f>
        <v>0.39500000000000002</v>
      </c>
      <c r="V185" s="3">
        <f>Table1[[#This Row],[FTE %]]*Table1[[#This Row],[Time Worked]]</f>
        <v>1.0862500000000002</v>
      </c>
      <c r="W18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170.3075</v>
      </c>
      <c r="X185" s="38">
        <f t="shared" si="22"/>
        <v>0</v>
      </c>
      <c r="Y185" s="18">
        <f t="shared" si="23"/>
        <v>0</v>
      </c>
    </row>
    <row r="186" spans="1:25" x14ac:dyDescent="0.25">
      <c r="A186" s="10">
        <f t="shared" si="16"/>
        <v>185</v>
      </c>
      <c r="B186" s="6" t="str">
        <f t="shared" si="17"/>
        <v>81620192600JM</v>
      </c>
      <c r="C186" s="1" t="s">
        <v>1</v>
      </c>
      <c r="D186" s="1" t="s">
        <v>996</v>
      </c>
      <c r="E186" s="53" t="str">
        <f t="shared" si="18"/>
        <v>Match</v>
      </c>
      <c r="F186" s="1">
        <v>2600</v>
      </c>
      <c r="G186" s="37" t="str">
        <f>VLOOKUP(Table1[[#This Row],[WO'#]],Table2[#All],2,FALSE)</f>
        <v>SM18 Master</v>
      </c>
      <c r="H186" s="20" t="s">
        <v>996</v>
      </c>
      <c r="I186" s="2">
        <v>43693</v>
      </c>
      <c r="J186" s="4">
        <f t="shared" si="19"/>
        <v>16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6.75</v>
      </c>
      <c r="Q186" s="3">
        <f t="shared" si="20"/>
        <v>6.75</v>
      </c>
      <c r="R186" s="1" t="s">
        <v>972</v>
      </c>
      <c r="S186" s="1" t="s">
        <v>23</v>
      </c>
      <c r="T186" s="3">
        <f t="shared" si="21"/>
        <v>0</v>
      </c>
      <c r="U186" s="44">
        <f>IF(Table1[[#This Row],[Initials]]="RM",$AE$10,IF(Table1[[#This Row],[Initials]]="JPH",$AE$11,IF(Table1[[#This Row],[Initials]]="IE",$AE$13,IF(Table1[[#This Row],[Initials]]="JM",$AE$14,1))))</f>
        <v>0.39500000000000002</v>
      </c>
      <c r="V186" s="3">
        <f>Table1[[#This Row],[FTE %]]*Table1[[#This Row],[Time Worked]]</f>
        <v>2.6662500000000002</v>
      </c>
      <c r="W18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418.02749999999997</v>
      </c>
      <c r="X186" s="38">
        <f t="shared" si="22"/>
        <v>0</v>
      </c>
      <c r="Y186" s="18">
        <f t="shared" si="23"/>
        <v>0</v>
      </c>
    </row>
    <row r="187" spans="1:25" x14ac:dyDescent="0.25">
      <c r="A187" s="10">
        <f t="shared" si="16"/>
        <v>186</v>
      </c>
      <c r="B187" s="6" t="str">
        <f t="shared" si="17"/>
        <v>82320192600JM</v>
      </c>
      <c r="C187" s="1" t="s">
        <v>1</v>
      </c>
      <c r="D187" s="1" t="s">
        <v>996</v>
      </c>
      <c r="E187" s="53" t="str">
        <f t="shared" si="18"/>
        <v>Match</v>
      </c>
      <c r="F187" s="1">
        <v>2600</v>
      </c>
      <c r="G187" s="37" t="str">
        <f>VLOOKUP(Table1[[#This Row],[WO'#]],Table2[#All],2,FALSE)</f>
        <v>SM18 Master</v>
      </c>
      <c r="H187" s="20" t="s">
        <v>996</v>
      </c>
      <c r="I187" s="2">
        <v>43700</v>
      </c>
      <c r="J187" s="4">
        <f t="shared" si="19"/>
        <v>23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0.25</v>
      </c>
      <c r="Q187" s="3">
        <f t="shared" si="20"/>
        <v>0.25</v>
      </c>
      <c r="R187" s="1" t="s">
        <v>972</v>
      </c>
      <c r="S187" s="1" t="s">
        <v>23</v>
      </c>
      <c r="T187" s="3">
        <f t="shared" si="21"/>
        <v>0</v>
      </c>
      <c r="U187" s="44">
        <f>IF(Table1[[#This Row],[Initials]]="RM",$AE$10,IF(Table1[[#This Row],[Initials]]="JPH",$AE$11,IF(Table1[[#This Row],[Initials]]="IE",$AE$13,IF(Table1[[#This Row],[Initials]]="JM",$AE$14,1))))</f>
        <v>0.39500000000000002</v>
      </c>
      <c r="V187" s="3">
        <f>Table1[[#This Row],[FTE %]]*Table1[[#This Row],[Time Worked]]</f>
        <v>9.8750000000000004E-2</v>
      </c>
      <c r="W18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87" s="38">
        <f t="shared" si="22"/>
        <v>0</v>
      </c>
      <c r="Y187" s="18">
        <f t="shared" si="23"/>
        <v>0</v>
      </c>
    </row>
    <row r="188" spans="1:25" x14ac:dyDescent="0.25">
      <c r="A188" s="10">
        <f t="shared" si="16"/>
        <v>187</v>
      </c>
      <c r="B188" s="6" t="str">
        <f t="shared" si="17"/>
        <v>82720192600JM</v>
      </c>
      <c r="C188" s="1" t="s">
        <v>1</v>
      </c>
      <c r="D188" s="1" t="s">
        <v>996</v>
      </c>
      <c r="E188" s="53" t="str">
        <f t="shared" si="18"/>
        <v>Match</v>
      </c>
      <c r="F188" s="1">
        <v>2600</v>
      </c>
      <c r="G188" s="37" t="str">
        <f>VLOOKUP(Table1[[#This Row],[WO'#]],Table2[#All],2,FALSE)</f>
        <v>SM18 Master</v>
      </c>
      <c r="H188" s="20" t="s">
        <v>996</v>
      </c>
      <c r="I188" s="2">
        <v>43704</v>
      </c>
      <c r="J188" s="4">
        <f t="shared" si="19"/>
        <v>27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0.25</v>
      </c>
      <c r="Q188" s="3">
        <f t="shared" si="20"/>
        <v>0.25</v>
      </c>
      <c r="R188" s="1" t="s">
        <v>972</v>
      </c>
      <c r="S188" s="1" t="s">
        <v>23</v>
      </c>
      <c r="T188" s="3">
        <f t="shared" si="21"/>
        <v>0</v>
      </c>
      <c r="U188" s="44">
        <f>IF(Table1[[#This Row],[Initials]]="RM",$AE$10,IF(Table1[[#This Row],[Initials]]="JPH",$AE$11,IF(Table1[[#This Row],[Initials]]="IE",$AE$13,IF(Table1[[#This Row],[Initials]]="JM",$AE$14,1))))</f>
        <v>0.39500000000000002</v>
      </c>
      <c r="V188" s="3">
        <f>Table1[[#This Row],[FTE %]]*Table1[[#This Row],[Time Worked]]</f>
        <v>9.8750000000000004E-2</v>
      </c>
      <c r="W18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88" s="38">
        <f t="shared" si="22"/>
        <v>0</v>
      </c>
      <c r="Y188" s="18">
        <f t="shared" si="23"/>
        <v>0</v>
      </c>
    </row>
    <row r="189" spans="1:25" x14ac:dyDescent="0.25">
      <c r="A189" s="10">
        <f t="shared" si="16"/>
        <v>188</v>
      </c>
      <c r="B189" s="6" t="str">
        <f t="shared" si="17"/>
        <v>8520192466RM</v>
      </c>
      <c r="C189" s="1" t="s">
        <v>967</v>
      </c>
      <c r="D189" s="1" t="s">
        <v>996</v>
      </c>
      <c r="E189" s="53" t="str">
        <f t="shared" si="18"/>
        <v>Unbilled</v>
      </c>
      <c r="F189" s="1">
        <v>2466</v>
      </c>
      <c r="G189" s="37" t="str">
        <f>VLOOKUP(Table1[[#This Row],[WO'#]],Table2[#All],2,FALSE)</f>
        <v>Magnet Permitting</v>
      </c>
      <c r="H189" s="20" t="s">
        <v>996</v>
      </c>
      <c r="I189" s="2">
        <v>43682</v>
      </c>
      <c r="J189" s="4">
        <f t="shared" si="19"/>
        <v>5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0.25</v>
      </c>
      <c r="Q189" s="3">
        <f t="shared" si="20"/>
        <v>0.25</v>
      </c>
      <c r="R189" s="1" t="s">
        <v>17</v>
      </c>
      <c r="S189" s="1" t="s">
        <v>23</v>
      </c>
      <c r="T189" s="3">
        <f t="shared" si="21"/>
        <v>0</v>
      </c>
      <c r="U189" s="44">
        <f>IF(Table1[[#This Row],[Initials]]="RM",$AE$10,IF(Table1[[#This Row],[Initials]]="JPH",$AE$11,IF(Table1[[#This Row],[Initials]]="IE",$AE$13,IF(Table1[[#This Row],[Initials]]="JM",$AE$14,1))))</f>
        <v>0.5</v>
      </c>
      <c r="V189" s="3">
        <f>Table1[[#This Row],[FTE %]]*Table1[[#This Row],[Time Worked]]</f>
        <v>0.125</v>
      </c>
      <c r="W18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89" s="38">
        <f t="shared" si="22"/>
        <v>15.4825</v>
      </c>
      <c r="Y189" s="18">
        <f t="shared" si="23"/>
        <v>0</v>
      </c>
    </row>
    <row r="190" spans="1:25" x14ac:dyDescent="0.25">
      <c r="A190" s="10">
        <f t="shared" si="16"/>
        <v>189</v>
      </c>
      <c r="B190" s="6" t="str">
        <f t="shared" si="17"/>
        <v>81920192466RM</v>
      </c>
      <c r="C190" s="1" t="s">
        <v>967</v>
      </c>
      <c r="D190" s="1" t="s">
        <v>996</v>
      </c>
      <c r="E190" s="53" t="str">
        <f t="shared" si="18"/>
        <v>Unbilled</v>
      </c>
      <c r="F190" s="1">
        <v>2466</v>
      </c>
      <c r="G190" s="37" t="str">
        <f>VLOOKUP(Table1[[#This Row],[WO'#]],Table2[#All],2,FALSE)</f>
        <v>Magnet Permitting</v>
      </c>
      <c r="H190" s="20" t="s">
        <v>996</v>
      </c>
      <c r="I190" s="2">
        <v>43696</v>
      </c>
      <c r="J190" s="4">
        <f t="shared" si="19"/>
        <v>19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1</v>
      </c>
      <c r="Q190" s="3">
        <f t="shared" si="20"/>
        <v>1</v>
      </c>
      <c r="R190" s="1" t="s">
        <v>17</v>
      </c>
      <c r="S190" s="1" t="s">
        <v>23</v>
      </c>
      <c r="T190" s="3">
        <f t="shared" si="21"/>
        <v>0</v>
      </c>
      <c r="U190" s="44">
        <f>IF(Table1[[#This Row],[Initials]]="RM",$AE$10,IF(Table1[[#This Row],[Initials]]="JPH",$AE$11,IF(Table1[[#This Row],[Initials]]="IE",$AE$13,IF(Table1[[#This Row],[Initials]]="JM",$AE$14,1))))</f>
        <v>0.5</v>
      </c>
      <c r="V190" s="3">
        <f>Table1[[#This Row],[FTE %]]*Table1[[#This Row],[Time Worked]]</f>
        <v>0.5</v>
      </c>
      <c r="W19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190" s="38">
        <f t="shared" si="22"/>
        <v>61.93</v>
      </c>
      <c r="Y190" s="18">
        <f t="shared" si="23"/>
        <v>0</v>
      </c>
    </row>
    <row r="191" spans="1:25" x14ac:dyDescent="0.25">
      <c r="A191" s="10">
        <f t="shared" si="16"/>
        <v>190</v>
      </c>
      <c r="B191" s="6" t="str">
        <f t="shared" si="17"/>
        <v>82720192524IE</v>
      </c>
      <c r="C191" s="1" t="s">
        <v>967</v>
      </c>
      <c r="D191" s="1" t="s">
        <v>996</v>
      </c>
      <c r="E191" s="53" t="str">
        <f t="shared" si="18"/>
        <v>Unbilled</v>
      </c>
      <c r="F191" s="1">
        <v>2524</v>
      </c>
      <c r="G191" s="37" t="str">
        <f>VLOOKUP(Table1[[#This Row],[WO'#]],Table2[#All],2,FALSE)</f>
        <v>Las Vegas Valley</v>
      </c>
      <c r="H191" s="20" t="s">
        <v>996</v>
      </c>
      <c r="I191" s="2">
        <v>43704</v>
      </c>
      <c r="J191" s="4">
        <f t="shared" si="19"/>
        <v>27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0.25</v>
      </c>
      <c r="Q191" s="3">
        <f t="shared" si="20"/>
        <v>0.25</v>
      </c>
      <c r="R191" s="1" t="s">
        <v>971</v>
      </c>
      <c r="S191" s="1" t="s">
        <v>23</v>
      </c>
      <c r="T191" s="3">
        <f t="shared" si="21"/>
        <v>0</v>
      </c>
      <c r="U191" s="44">
        <f>IF(Table1[[#This Row],[Initials]]="RM",$AE$10,IF(Table1[[#This Row],[Initials]]="JPH",$AE$11,IF(Table1[[#This Row],[Initials]]="IE",$AE$13,IF(Table1[[#This Row],[Initials]]="JM",$AE$14,1))))</f>
        <v>1</v>
      </c>
      <c r="V191" s="3">
        <f>Table1[[#This Row],[FTE %]]*Table1[[#This Row],[Time Worked]]</f>
        <v>0.25</v>
      </c>
      <c r="W19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91" s="38">
        <f t="shared" si="22"/>
        <v>15.4825</v>
      </c>
      <c r="Y191" s="18">
        <f t="shared" si="23"/>
        <v>0</v>
      </c>
    </row>
    <row r="192" spans="1:25" x14ac:dyDescent="0.25">
      <c r="A192" s="10">
        <f t="shared" si="16"/>
        <v>191</v>
      </c>
      <c r="B192" s="6" t="str">
        <f t="shared" si="17"/>
        <v>71820192526JM</v>
      </c>
      <c r="C192" s="1" t="s">
        <v>967</v>
      </c>
      <c r="D192" s="1" t="s">
        <v>996</v>
      </c>
      <c r="E192" s="53" t="str">
        <f t="shared" si="18"/>
        <v>Unbilled</v>
      </c>
      <c r="F192" s="1">
        <v>2526</v>
      </c>
      <c r="G192" s="37" t="str">
        <f>VLOOKUP(Table1[[#This Row],[WO'#]],Table2[#All],2,FALSE)</f>
        <v>Biennial 2016</v>
      </c>
      <c r="H192" s="20" t="s">
        <v>996</v>
      </c>
      <c r="I192" s="2">
        <v>43664</v>
      </c>
      <c r="J192" s="4">
        <f t="shared" si="19"/>
        <v>18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2</v>
      </c>
      <c r="Q192" s="3">
        <f t="shared" si="20"/>
        <v>2</v>
      </c>
      <c r="R192" s="1" t="s">
        <v>972</v>
      </c>
      <c r="S192" s="1" t="s">
        <v>23</v>
      </c>
      <c r="T192" s="3">
        <f t="shared" si="21"/>
        <v>0</v>
      </c>
      <c r="U192" s="44">
        <f>IF(Table1[[#This Row],[Initials]]="RM",$AE$10,IF(Table1[[#This Row],[Initials]]="JPH",$AE$11,IF(Table1[[#This Row],[Initials]]="IE",$AE$13,IF(Table1[[#This Row],[Initials]]="JM",$AE$14,1))))</f>
        <v>0.39500000000000002</v>
      </c>
      <c r="V192" s="3">
        <f>Table1[[#This Row],[FTE %]]*Table1[[#This Row],[Time Worked]]</f>
        <v>0.79</v>
      </c>
      <c r="W19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92" s="38">
        <f t="shared" si="22"/>
        <v>123.86</v>
      </c>
      <c r="Y192" s="18">
        <f t="shared" si="23"/>
        <v>0</v>
      </c>
    </row>
    <row r="193" spans="1:25" x14ac:dyDescent="0.25">
      <c r="A193" s="10">
        <f t="shared" si="16"/>
        <v>192</v>
      </c>
      <c r="B193" s="6" t="str">
        <f t="shared" si="17"/>
        <v>71820192526JPH</v>
      </c>
      <c r="C193" s="1" t="s">
        <v>967</v>
      </c>
      <c r="D193" s="1" t="s">
        <v>996</v>
      </c>
      <c r="E193" s="53" t="str">
        <f t="shared" si="18"/>
        <v>Unbilled</v>
      </c>
      <c r="F193" s="1">
        <v>2526</v>
      </c>
      <c r="G193" s="37" t="str">
        <f>VLOOKUP(Table1[[#This Row],[WO'#]],Table2[#All],2,FALSE)</f>
        <v>Biennial 2016</v>
      </c>
      <c r="H193" s="20" t="s">
        <v>996</v>
      </c>
      <c r="I193" s="2">
        <v>43664</v>
      </c>
      <c r="J193" s="4">
        <f t="shared" si="19"/>
        <v>18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2.5</v>
      </c>
      <c r="Q193" s="3">
        <f t="shared" si="20"/>
        <v>2.5</v>
      </c>
      <c r="R193" s="1" t="s">
        <v>970</v>
      </c>
      <c r="S193" s="1" t="s">
        <v>23</v>
      </c>
      <c r="T193" s="3">
        <f t="shared" si="21"/>
        <v>0</v>
      </c>
      <c r="U193" s="44">
        <f>IF(Table1[[#This Row],[Initials]]="RM",$AE$10,IF(Table1[[#This Row],[Initials]]="JPH",$AE$11,IF(Table1[[#This Row],[Initials]]="IE",$AE$13,IF(Table1[[#This Row],[Initials]]="JM",$AE$14,1))))</f>
        <v>0.53</v>
      </c>
      <c r="V193" s="3">
        <f>Table1[[#This Row],[FTE %]]*Table1[[#This Row],[Time Worked]]</f>
        <v>1.3250000000000002</v>
      </c>
      <c r="W19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193" s="38">
        <f t="shared" si="22"/>
        <v>154.82499999999999</v>
      </c>
      <c r="Y193" s="18">
        <f t="shared" si="23"/>
        <v>0</v>
      </c>
    </row>
    <row r="194" spans="1:25" x14ac:dyDescent="0.25">
      <c r="A194" s="10">
        <f t="shared" ref="A194:A257" si="24">IF(IFERROR(A193+1,1)=1,1,A193+1)</f>
        <v>193</v>
      </c>
      <c r="B194" s="6" t="str">
        <f t="shared" ref="B194:B257" si="25">IF(I194="","",CONCATENATE(MONTH(I194),DAY(I194),YEAR(I194),F194,R194))</f>
        <v>72320192526JM</v>
      </c>
      <c r="C194" s="1" t="s">
        <v>967</v>
      </c>
      <c r="D194" s="1" t="s">
        <v>996</v>
      </c>
      <c r="E194" s="53" t="str">
        <f t="shared" ref="E194:E257" si="26">IF(ISNUMBER(FIND("GR",D194)),"External",IF(C194="NB","Unbilled",IF(AND(C194="Admin",F194=2642),"Annual",IF(AND(C194="Admin",F194=2643),"Comp",IF(AND(C194="Admin",F194=2640),"FMLA",IF(AND(C194="Admin",F194=2644),"Holiday",IF(AND(C194="Admin",F194=2646),"Sick",IF(AND(C194="Admin",F194=2645),"LWOP",IF(C194="Match","Match",IF(C194="WO","Write Off","Internal"))))))))))</f>
        <v>Unbilled</v>
      </c>
      <c r="F194" s="1">
        <v>2526</v>
      </c>
      <c r="G194" s="37" t="str">
        <f>VLOOKUP(Table1[[#This Row],[WO'#]],Table2[#All],2,FALSE)</f>
        <v>Biennial 2016</v>
      </c>
      <c r="H194" s="20" t="s">
        <v>996</v>
      </c>
      <c r="I194" s="2">
        <v>43669</v>
      </c>
      <c r="J194" s="4">
        <f t="shared" ref="J194:J257" si="27">IF(I194="","",DAY(I194))</f>
        <v>23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3">
        <v>0.25</v>
      </c>
      <c r="Q194" s="3">
        <f t="shared" ref="Q194:Q257" si="28">SUM(K194:P194)</f>
        <v>0.25</v>
      </c>
      <c r="R194" s="1" t="s">
        <v>972</v>
      </c>
      <c r="S194" s="1" t="s">
        <v>23</v>
      </c>
      <c r="T194" s="3">
        <f t="shared" ref="T194:T257" si="29">IF(R194="","",IF(OR(C194="WO",C194="Match",C194="NB",C194="Admin"),0,SUM(K194:P194)))</f>
        <v>0</v>
      </c>
      <c r="U194" s="44">
        <f>IF(Table1[[#This Row],[Initials]]="RM",$AE$10,IF(Table1[[#This Row],[Initials]]="JPH",$AE$11,IF(Table1[[#This Row],[Initials]]="IE",$AE$13,IF(Table1[[#This Row],[Initials]]="JM",$AE$14,1))))</f>
        <v>0.39500000000000002</v>
      </c>
      <c r="V194" s="3">
        <f>Table1[[#This Row],[FTE %]]*Table1[[#This Row],[Time Worked]]</f>
        <v>9.8750000000000004E-2</v>
      </c>
      <c r="W19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94" s="38">
        <f t="shared" ref="X194:X257" si="30">IF(R194="","",IF(OR(C194="Match",C194="Write Off",C194&lt;&gt;"NB",C194="Admin"),0,IF(OR(R194="BOGD",R194="BOGC",R194="BLGDB",R194="BLGCR"),IF(AND(I194&gt;=$AE$3,I194&lt;=$AF$3),P194*$AD$3,IF(AND(I194&gt;=$AE$4,I194&lt;=$AF$4),P194*$AD$4,IF(AND(I194&gt;=$AE$5,I194&lt;=$AF$5),P194*$AD$5,IF(AND(I194&gt;=$AE$6,I194&lt;=$AF$6),P194*$AD$6,P194*$AD$7)))),IF(AND(I194&gt;=$AE$3,I194&lt;=$AF$3),Q194*$AD$3,IF(AND(I194&gt;=$AE$4,I194&lt;=$AF$4),Q194*$AD$4,IF(AND(I194&gt;=$AE$5,I194&lt;=$AF$5),Q194*$AD$5,IF(AND(I194&gt;=$AE$6,I194&lt;=$AF$6),Q194*$AD$6,Q194*$AD$7)))))))</f>
        <v>15.4825</v>
      </c>
      <c r="Y194" s="18">
        <f t="shared" ref="Y194:Y257" si="31">IF(R194="","",IF(OR(C194="Match",C194="WO",C194="NB",C194="Admin"),0,IF(OR(R194="BOGD",R194="BOGC",R194="BLGDB",R194="BLGCR"),IF(AND(I194&gt;=$AE$3,I194&lt;=$AF$3),P194*$AD$3,IF(AND(I194&gt;=$AE$4,I194&lt;=$AF$4),P194*$AD$4,IF(AND(I194&gt;=$AE$5,I194&lt;=$AF$5),P194*$AD$5,IF(AND(I194&gt;=$AE$6,I194&lt;=$AF$6),P194*$AD$6,P194*$AD$7)))),IF(AND(I194&gt;=$AE$3,I194&lt;=$AF$3),Q194*$AD$3,IF(AND(I194&gt;=$AE$4,I194&lt;=$AF$4),Q194*$AD$4,IF(AND(I194&gt;=$AE$5,I194&lt;=$AF$5),Q194*$AD$5,IF(AND(I194&gt;=$AE$6,I194&lt;=$AF$6),Q194*$AD$6,Q194*$AD$7)))))))</f>
        <v>0</v>
      </c>
    </row>
    <row r="195" spans="1:25" x14ac:dyDescent="0.25">
      <c r="A195" s="10">
        <f t="shared" si="24"/>
        <v>194</v>
      </c>
      <c r="B195" s="6" t="str">
        <f t="shared" si="25"/>
        <v>72320192526JPH</v>
      </c>
      <c r="C195" s="1" t="s">
        <v>967</v>
      </c>
      <c r="D195" s="1" t="s">
        <v>996</v>
      </c>
      <c r="E195" s="53" t="str">
        <f t="shared" si="26"/>
        <v>Unbilled</v>
      </c>
      <c r="F195" s="1">
        <v>2526</v>
      </c>
      <c r="G195" s="37" t="str">
        <f>VLOOKUP(Table1[[#This Row],[WO'#]],Table2[#All],2,FALSE)</f>
        <v>Biennial 2016</v>
      </c>
      <c r="H195" s="20" t="s">
        <v>996</v>
      </c>
      <c r="I195" s="2">
        <v>43669</v>
      </c>
      <c r="J195" s="4">
        <f t="shared" si="27"/>
        <v>23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3">
        <v>2</v>
      </c>
      <c r="Q195" s="3">
        <f t="shared" si="28"/>
        <v>2</v>
      </c>
      <c r="R195" s="1" t="s">
        <v>970</v>
      </c>
      <c r="S195" s="1" t="s">
        <v>23</v>
      </c>
      <c r="T195" s="3">
        <f t="shared" si="29"/>
        <v>0</v>
      </c>
      <c r="U195" s="44">
        <f>IF(Table1[[#This Row],[Initials]]="RM",$AE$10,IF(Table1[[#This Row],[Initials]]="JPH",$AE$11,IF(Table1[[#This Row],[Initials]]="IE",$AE$13,IF(Table1[[#This Row],[Initials]]="JM",$AE$14,1))))</f>
        <v>0.53</v>
      </c>
      <c r="V195" s="3">
        <f>Table1[[#This Row],[FTE %]]*Table1[[#This Row],[Time Worked]]</f>
        <v>1.06</v>
      </c>
      <c r="W19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195" s="38">
        <f t="shared" si="30"/>
        <v>123.86</v>
      </c>
      <c r="Y195" s="18">
        <f t="shared" si="31"/>
        <v>0</v>
      </c>
    </row>
    <row r="196" spans="1:25" x14ac:dyDescent="0.25">
      <c r="A196" s="10">
        <f t="shared" si="24"/>
        <v>195</v>
      </c>
      <c r="B196" s="6" t="str">
        <f t="shared" si="25"/>
        <v>72420192526JM</v>
      </c>
      <c r="C196" s="1" t="s">
        <v>967</v>
      </c>
      <c r="D196" s="1" t="s">
        <v>996</v>
      </c>
      <c r="E196" s="53" t="str">
        <f t="shared" si="26"/>
        <v>Unbilled</v>
      </c>
      <c r="F196" s="1">
        <v>2526</v>
      </c>
      <c r="G196" s="37" t="str">
        <f>VLOOKUP(Table1[[#This Row],[WO'#]],Table2[#All],2,FALSE)</f>
        <v>Biennial 2016</v>
      </c>
      <c r="H196" s="20" t="s">
        <v>996</v>
      </c>
      <c r="I196" s="2">
        <v>43670</v>
      </c>
      <c r="J196" s="4">
        <f t="shared" si="27"/>
        <v>24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3">
        <v>0.25</v>
      </c>
      <c r="Q196" s="3">
        <f t="shared" si="28"/>
        <v>0.25</v>
      </c>
      <c r="R196" s="1" t="s">
        <v>972</v>
      </c>
      <c r="S196" s="1" t="s">
        <v>23</v>
      </c>
      <c r="T196" s="3">
        <f t="shared" si="29"/>
        <v>0</v>
      </c>
      <c r="U196" s="44">
        <f>IF(Table1[[#This Row],[Initials]]="RM",$AE$10,IF(Table1[[#This Row],[Initials]]="JPH",$AE$11,IF(Table1[[#This Row],[Initials]]="IE",$AE$13,IF(Table1[[#This Row],[Initials]]="JM",$AE$14,1))))</f>
        <v>0.39500000000000002</v>
      </c>
      <c r="V196" s="3">
        <f>Table1[[#This Row],[FTE %]]*Table1[[#This Row],[Time Worked]]</f>
        <v>9.8750000000000004E-2</v>
      </c>
      <c r="W19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96" s="38">
        <f t="shared" si="30"/>
        <v>15.4825</v>
      </c>
      <c r="Y196" s="18">
        <f t="shared" si="31"/>
        <v>0</v>
      </c>
    </row>
    <row r="197" spans="1:25" x14ac:dyDescent="0.25">
      <c r="A197" s="10">
        <f t="shared" si="24"/>
        <v>196</v>
      </c>
      <c r="B197" s="6" t="str">
        <f t="shared" si="25"/>
        <v>72420192526JPH</v>
      </c>
      <c r="C197" s="1" t="s">
        <v>967</v>
      </c>
      <c r="D197" s="1" t="s">
        <v>996</v>
      </c>
      <c r="E197" s="53" t="str">
        <f t="shared" si="26"/>
        <v>Unbilled</v>
      </c>
      <c r="F197" s="1">
        <v>2526</v>
      </c>
      <c r="G197" s="37" t="str">
        <f>VLOOKUP(Table1[[#This Row],[WO'#]],Table2[#All],2,FALSE)</f>
        <v>Biennial 2016</v>
      </c>
      <c r="H197" s="20" t="s">
        <v>996</v>
      </c>
      <c r="I197" s="2">
        <v>43670</v>
      </c>
      <c r="J197" s="4">
        <f t="shared" si="27"/>
        <v>24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0.25</v>
      </c>
      <c r="Q197" s="3">
        <f t="shared" si="28"/>
        <v>0.25</v>
      </c>
      <c r="R197" s="1" t="s">
        <v>970</v>
      </c>
      <c r="S197" s="1" t="s">
        <v>23</v>
      </c>
      <c r="T197" s="3">
        <f t="shared" si="29"/>
        <v>0</v>
      </c>
      <c r="U197" s="44">
        <f>IF(Table1[[#This Row],[Initials]]="RM",$AE$10,IF(Table1[[#This Row],[Initials]]="JPH",$AE$11,IF(Table1[[#This Row],[Initials]]="IE",$AE$13,IF(Table1[[#This Row],[Initials]]="JM",$AE$14,1))))</f>
        <v>0.53</v>
      </c>
      <c r="V197" s="3">
        <f>Table1[[#This Row],[FTE %]]*Table1[[#This Row],[Time Worked]]</f>
        <v>0.13250000000000001</v>
      </c>
      <c r="W19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197" s="38">
        <f t="shared" si="30"/>
        <v>15.4825</v>
      </c>
      <c r="Y197" s="18">
        <f t="shared" si="31"/>
        <v>0</v>
      </c>
    </row>
    <row r="198" spans="1:25" x14ac:dyDescent="0.25">
      <c r="A198" s="10">
        <f t="shared" si="24"/>
        <v>197</v>
      </c>
      <c r="B198" s="6" t="str">
        <f t="shared" si="25"/>
        <v>72520192526JM</v>
      </c>
      <c r="C198" s="1" t="s">
        <v>967</v>
      </c>
      <c r="D198" s="1" t="s">
        <v>996</v>
      </c>
      <c r="E198" s="53" t="str">
        <f t="shared" si="26"/>
        <v>Unbilled</v>
      </c>
      <c r="F198" s="1">
        <v>2526</v>
      </c>
      <c r="G198" s="37" t="str">
        <f>VLOOKUP(Table1[[#This Row],[WO'#]],Table2[#All],2,FALSE)</f>
        <v>Biennial 2016</v>
      </c>
      <c r="H198" s="20" t="s">
        <v>996</v>
      </c>
      <c r="I198" s="2">
        <v>43671</v>
      </c>
      <c r="J198" s="4">
        <f t="shared" si="27"/>
        <v>25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0.5</v>
      </c>
      <c r="Q198" s="3">
        <f t="shared" si="28"/>
        <v>0.5</v>
      </c>
      <c r="R198" s="1" t="s">
        <v>972</v>
      </c>
      <c r="S198" s="1" t="s">
        <v>23</v>
      </c>
      <c r="T198" s="3">
        <f t="shared" si="29"/>
        <v>0</v>
      </c>
      <c r="U198" s="44">
        <f>IF(Table1[[#This Row],[Initials]]="RM",$AE$10,IF(Table1[[#This Row],[Initials]]="JPH",$AE$11,IF(Table1[[#This Row],[Initials]]="IE",$AE$13,IF(Table1[[#This Row],[Initials]]="JM",$AE$14,1))))</f>
        <v>0.39500000000000002</v>
      </c>
      <c r="V198" s="3">
        <f>Table1[[#This Row],[FTE %]]*Table1[[#This Row],[Time Worked]]</f>
        <v>0.19750000000000001</v>
      </c>
      <c r="W19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198" s="38">
        <f t="shared" si="30"/>
        <v>30.965</v>
      </c>
      <c r="Y198" s="18">
        <f t="shared" si="31"/>
        <v>0</v>
      </c>
    </row>
    <row r="199" spans="1:25" x14ac:dyDescent="0.25">
      <c r="A199" s="10">
        <f t="shared" si="24"/>
        <v>198</v>
      </c>
      <c r="B199" s="6" t="str">
        <f t="shared" si="25"/>
        <v>9320192590IE</v>
      </c>
      <c r="C199" s="1" t="s">
        <v>967</v>
      </c>
      <c r="D199" s="1" t="s">
        <v>996</v>
      </c>
      <c r="E199" s="53" t="str">
        <f t="shared" si="26"/>
        <v>Unbilled</v>
      </c>
      <c r="F199" s="1">
        <v>2590</v>
      </c>
      <c r="G199" s="37" t="str">
        <f>VLOOKUP(Table1[[#This Row],[WO'#]],Table2[#All],2,FALSE)</f>
        <v>Forge Geologic Map</v>
      </c>
      <c r="H199" s="20" t="s">
        <v>996</v>
      </c>
      <c r="I199" s="2">
        <v>43711</v>
      </c>
      <c r="J199" s="4">
        <f t="shared" si="27"/>
        <v>3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4</v>
      </c>
      <c r="Q199" s="3">
        <f t="shared" si="28"/>
        <v>4</v>
      </c>
      <c r="R199" s="1" t="s">
        <v>971</v>
      </c>
      <c r="S199" s="1" t="s">
        <v>23</v>
      </c>
      <c r="T199" s="3">
        <f t="shared" si="29"/>
        <v>0</v>
      </c>
      <c r="U199" s="44">
        <f>IF(Table1[[#This Row],[Initials]]="RM",$AE$10,IF(Table1[[#This Row],[Initials]]="JPH",$AE$11,IF(Table1[[#This Row],[Initials]]="IE",$AE$13,IF(Table1[[#This Row],[Initials]]="JM",$AE$14,1))))</f>
        <v>1</v>
      </c>
      <c r="V199" s="3">
        <f>Table1[[#This Row],[FTE %]]*Table1[[#This Row],[Time Worked]]</f>
        <v>4</v>
      </c>
      <c r="W19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199" s="38">
        <f t="shared" si="30"/>
        <v>247.72</v>
      </c>
      <c r="Y199" s="18">
        <f t="shared" si="31"/>
        <v>0</v>
      </c>
    </row>
    <row r="200" spans="1:25" x14ac:dyDescent="0.25">
      <c r="A200" s="10">
        <f t="shared" si="24"/>
        <v>199</v>
      </c>
      <c r="B200" s="6" t="str">
        <f t="shared" si="25"/>
        <v>9420192590IE</v>
      </c>
      <c r="C200" s="1" t="s">
        <v>967</v>
      </c>
      <c r="D200" s="1" t="s">
        <v>996</v>
      </c>
      <c r="E200" s="53" t="str">
        <f t="shared" si="26"/>
        <v>Unbilled</v>
      </c>
      <c r="F200" s="1">
        <v>2590</v>
      </c>
      <c r="G200" s="37" t="str">
        <f>VLOOKUP(Table1[[#This Row],[WO'#]],Table2[#All],2,FALSE)</f>
        <v>Forge Geologic Map</v>
      </c>
      <c r="H200" s="20" t="s">
        <v>996</v>
      </c>
      <c r="I200" s="2">
        <v>43712</v>
      </c>
      <c r="J200" s="4">
        <f t="shared" si="27"/>
        <v>4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3">
        <v>5</v>
      </c>
      <c r="Q200" s="3">
        <f t="shared" si="28"/>
        <v>5</v>
      </c>
      <c r="R200" s="1" t="s">
        <v>971</v>
      </c>
      <c r="S200" s="1" t="s">
        <v>23</v>
      </c>
      <c r="T200" s="3">
        <f t="shared" si="29"/>
        <v>0</v>
      </c>
      <c r="U200" s="44">
        <f>IF(Table1[[#This Row],[Initials]]="RM",$AE$10,IF(Table1[[#This Row],[Initials]]="JPH",$AE$11,IF(Table1[[#This Row],[Initials]]="IE",$AE$13,IF(Table1[[#This Row],[Initials]]="JM",$AE$14,1))))</f>
        <v>1</v>
      </c>
      <c r="V200" s="3">
        <f>Table1[[#This Row],[FTE %]]*Table1[[#This Row],[Time Worked]]</f>
        <v>5</v>
      </c>
      <c r="W20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200" s="38">
        <f t="shared" si="30"/>
        <v>309.64999999999998</v>
      </c>
      <c r="Y200" s="18">
        <f t="shared" si="31"/>
        <v>0</v>
      </c>
    </row>
    <row r="201" spans="1:25" x14ac:dyDescent="0.25">
      <c r="A201" s="10">
        <f t="shared" si="24"/>
        <v>200</v>
      </c>
      <c r="B201" s="6" t="str">
        <f t="shared" si="25"/>
        <v>9520192590IE</v>
      </c>
      <c r="C201" s="1" t="s">
        <v>967</v>
      </c>
      <c r="D201" s="1" t="s">
        <v>996</v>
      </c>
      <c r="E201" s="53" t="str">
        <f t="shared" si="26"/>
        <v>Unbilled</v>
      </c>
      <c r="F201" s="1">
        <v>2590</v>
      </c>
      <c r="G201" s="37" t="str">
        <f>VLOOKUP(Table1[[#This Row],[WO'#]],Table2[#All],2,FALSE)</f>
        <v>Forge Geologic Map</v>
      </c>
      <c r="H201" s="20" t="s">
        <v>996</v>
      </c>
      <c r="I201" s="2">
        <v>43713</v>
      </c>
      <c r="J201" s="4">
        <f t="shared" si="27"/>
        <v>5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3">
        <v>2.5</v>
      </c>
      <c r="Q201" s="3">
        <f t="shared" si="28"/>
        <v>2.5</v>
      </c>
      <c r="R201" s="1" t="s">
        <v>971</v>
      </c>
      <c r="S201" s="1" t="s">
        <v>23</v>
      </c>
      <c r="T201" s="3">
        <f t="shared" si="29"/>
        <v>0</v>
      </c>
      <c r="U201" s="44">
        <f>IF(Table1[[#This Row],[Initials]]="RM",$AE$10,IF(Table1[[#This Row],[Initials]]="JPH",$AE$11,IF(Table1[[#This Row],[Initials]]="IE",$AE$13,IF(Table1[[#This Row],[Initials]]="JM",$AE$14,1))))</f>
        <v>1</v>
      </c>
      <c r="V201" s="3">
        <f>Table1[[#This Row],[FTE %]]*Table1[[#This Row],[Time Worked]]</f>
        <v>2.5</v>
      </c>
      <c r="W20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01" s="38">
        <f t="shared" si="30"/>
        <v>154.82499999999999</v>
      </c>
      <c r="Y201" s="18">
        <f t="shared" si="31"/>
        <v>0</v>
      </c>
    </row>
    <row r="202" spans="1:25" x14ac:dyDescent="0.25">
      <c r="A202" s="10">
        <f t="shared" si="24"/>
        <v>201</v>
      </c>
      <c r="B202" s="6" t="str">
        <f t="shared" si="25"/>
        <v>9920192590IE</v>
      </c>
      <c r="C202" s="1" t="s">
        <v>967</v>
      </c>
      <c r="D202" s="1" t="s">
        <v>996</v>
      </c>
      <c r="E202" s="53" t="str">
        <f t="shared" si="26"/>
        <v>Unbilled</v>
      </c>
      <c r="F202" s="1">
        <v>2590</v>
      </c>
      <c r="G202" s="37" t="str">
        <f>VLOOKUP(Table1[[#This Row],[WO'#]],Table2[#All],2,FALSE)</f>
        <v>Forge Geologic Map</v>
      </c>
      <c r="H202" s="20" t="s">
        <v>996</v>
      </c>
      <c r="I202" s="2">
        <v>43717</v>
      </c>
      <c r="J202" s="4">
        <f t="shared" si="27"/>
        <v>9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8</v>
      </c>
      <c r="Q202" s="3">
        <f t="shared" si="28"/>
        <v>8</v>
      </c>
      <c r="R202" s="1" t="s">
        <v>971</v>
      </c>
      <c r="S202" s="1" t="s">
        <v>23</v>
      </c>
      <c r="T202" s="3">
        <f t="shared" si="29"/>
        <v>0</v>
      </c>
      <c r="U202" s="44">
        <f>IF(Table1[[#This Row],[Initials]]="RM",$AE$10,IF(Table1[[#This Row],[Initials]]="JPH",$AE$11,IF(Table1[[#This Row],[Initials]]="IE",$AE$13,IF(Table1[[#This Row],[Initials]]="JM",$AE$14,1))))</f>
        <v>1</v>
      </c>
      <c r="V202" s="3">
        <f>Table1[[#This Row],[FTE %]]*Table1[[#This Row],[Time Worked]]</f>
        <v>8</v>
      </c>
      <c r="W20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02" s="38">
        <f t="shared" si="30"/>
        <v>495.44</v>
      </c>
      <c r="Y202" s="18">
        <f t="shared" si="31"/>
        <v>0</v>
      </c>
    </row>
    <row r="203" spans="1:25" x14ac:dyDescent="0.25">
      <c r="A203" s="10">
        <f t="shared" si="24"/>
        <v>202</v>
      </c>
      <c r="B203" s="6" t="str">
        <f t="shared" si="25"/>
        <v>91020192590IE</v>
      </c>
      <c r="C203" s="1" t="s">
        <v>967</v>
      </c>
      <c r="D203" s="1" t="s">
        <v>996</v>
      </c>
      <c r="E203" s="53" t="str">
        <f t="shared" si="26"/>
        <v>Unbilled</v>
      </c>
      <c r="F203" s="1">
        <v>2590</v>
      </c>
      <c r="G203" s="37" t="str">
        <f>VLOOKUP(Table1[[#This Row],[WO'#]],Table2[#All],2,FALSE)</f>
        <v>Forge Geologic Map</v>
      </c>
      <c r="H203" s="20" t="s">
        <v>996</v>
      </c>
      <c r="I203" s="2">
        <v>43718</v>
      </c>
      <c r="J203" s="4">
        <f t="shared" si="27"/>
        <v>10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8</v>
      </c>
      <c r="Q203" s="3">
        <f t="shared" si="28"/>
        <v>8</v>
      </c>
      <c r="R203" s="1" t="s">
        <v>971</v>
      </c>
      <c r="S203" s="1" t="s">
        <v>23</v>
      </c>
      <c r="T203" s="3">
        <f t="shared" si="29"/>
        <v>0</v>
      </c>
      <c r="U203" s="44">
        <f>IF(Table1[[#This Row],[Initials]]="RM",$AE$10,IF(Table1[[#This Row],[Initials]]="JPH",$AE$11,IF(Table1[[#This Row],[Initials]]="IE",$AE$13,IF(Table1[[#This Row],[Initials]]="JM",$AE$14,1))))</f>
        <v>1</v>
      </c>
      <c r="V203" s="3">
        <f>Table1[[#This Row],[FTE %]]*Table1[[#This Row],[Time Worked]]</f>
        <v>8</v>
      </c>
      <c r="W20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03" s="38">
        <f t="shared" si="30"/>
        <v>495.44</v>
      </c>
      <c r="Y203" s="18">
        <f t="shared" si="31"/>
        <v>0</v>
      </c>
    </row>
    <row r="204" spans="1:25" x14ac:dyDescent="0.25">
      <c r="A204" s="10">
        <f t="shared" si="24"/>
        <v>203</v>
      </c>
      <c r="B204" s="6" t="str">
        <f t="shared" si="25"/>
        <v>9320192595IE</v>
      </c>
      <c r="C204" s="1" t="s">
        <v>967</v>
      </c>
      <c r="D204" s="1" t="s">
        <v>996</v>
      </c>
      <c r="E204" s="53" t="str">
        <f t="shared" si="26"/>
        <v>Unbilled</v>
      </c>
      <c r="F204" s="1">
        <v>2595</v>
      </c>
      <c r="G204" s="37" t="str">
        <f>VLOOKUP(Table1[[#This Row],[WO'#]],Table2[#All],2,FALSE)</f>
        <v>SM18 Granite Peak</v>
      </c>
      <c r="H204" s="20" t="s">
        <v>996</v>
      </c>
      <c r="I204" s="2">
        <v>43711</v>
      </c>
      <c r="J204" s="4">
        <f t="shared" si="27"/>
        <v>3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3">
        <v>3</v>
      </c>
      <c r="Q204" s="3">
        <f t="shared" si="28"/>
        <v>3</v>
      </c>
      <c r="R204" s="1" t="s">
        <v>971</v>
      </c>
      <c r="S204" s="1" t="s">
        <v>23</v>
      </c>
      <c r="T204" s="3">
        <f t="shared" si="29"/>
        <v>0</v>
      </c>
      <c r="U204" s="44">
        <f>IF(Table1[[#This Row],[Initials]]="RM",$AE$10,IF(Table1[[#This Row],[Initials]]="JPH",$AE$11,IF(Table1[[#This Row],[Initials]]="IE",$AE$13,IF(Table1[[#This Row],[Initials]]="JM",$AE$14,1))))</f>
        <v>1</v>
      </c>
      <c r="V204" s="3">
        <f>Table1[[#This Row],[FTE %]]*Table1[[#This Row],[Time Worked]]</f>
        <v>3</v>
      </c>
      <c r="W20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204" s="38">
        <f t="shared" si="30"/>
        <v>185.79</v>
      </c>
      <c r="Y204" s="18">
        <f t="shared" si="31"/>
        <v>0</v>
      </c>
    </row>
    <row r="205" spans="1:25" x14ac:dyDescent="0.25">
      <c r="A205" s="10">
        <f t="shared" si="24"/>
        <v>204</v>
      </c>
      <c r="B205" s="6" t="str">
        <f t="shared" si="25"/>
        <v>9520192595IE</v>
      </c>
      <c r="C205" s="1" t="s">
        <v>967</v>
      </c>
      <c r="D205" s="1" t="s">
        <v>996</v>
      </c>
      <c r="E205" s="53" t="str">
        <f t="shared" si="26"/>
        <v>Unbilled</v>
      </c>
      <c r="F205" s="1">
        <v>2595</v>
      </c>
      <c r="G205" s="37" t="str">
        <f>VLOOKUP(Table1[[#This Row],[WO'#]],Table2[#All],2,FALSE)</f>
        <v>SM18 Granite Peak</v>
      </c>
      <c r="H205" s="20" t="s">
        <v>996</v>
      </c>
      <c r="I205" s="2">
        <v>43713</v>
      </c>
      <c r="J205" s="4">
        <f t="shared" si="27"/>
        <v>5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0.5</v>
      </c>
      <c r="Q205" s="3">
        <f t="shared" si="28"/>
        <v>0.5</v>
      </c>
      <c r="R205" s="1" t="s">
        <v>971</v>
      </c>
      <c r="S205" s="1" t="s">
        <v>23</v>
      </c>
      <c r="T205" s="3">
        <f t="shared" si="29"/>
        <v>0</v>
      </c>
      <c r="U205" s="44">
        <f>IF(Table1[[#This Row],[Initials]]="RM",$AE$10,IF(Table1[[#This Row],[Initials]]="JPH",$AE$11,IF(Table1[[#This Row],[Initials]]="IE",$AE$13,IF(Table1[[#This Row],[Initials]]="JM",$AE$14,1))))</f>
        <v>1</v>
      </c>
      <c r="V205" s="3">
        <f>Table1[[#This Row],[FTE %]]*Table1[[#This Row],[Time Worked]]</f>
        <v>0.5</v>
      </c>
      <c r="W20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05" s="38">
        <f t="shared" si="30"/>
        <v>30.965</v>
      </c>
      <c r="Y205" s="18">
        <f t="shared" si="31"/>
        <v>0</v>
      </c>
    </row>
    <row r="206" spans="1:25" x14ac:dyDescent="0.25">
      <c r="A206" s="10">
        <f t="shared" si="24"/>
        <v>205</v>
      </c>
      <c r="B206" s="6" t="str">
        <f t="shared" si="25"/>
        <v>82020192600JM</v>
      </c>
      <c r="C206" s="1" t="s">
        <v>967</v>
      </c>
      <c r="D206" s="1" t="s">
        <v>996</v>
      </c>
      <c r="E206" s="53" t="str">
        <f t="shared" si="26"/>
        <v>Unbilled</v>
      </c>
      <c r="F206" s="1">
        <v>2600</v>
      </c>
      <c r="G206" s="37" t="str">
        <f>VLOOKUP(Table1[[#This Row],[WO'#]],Table2[#All],2,FALSE)</f>
        <v>SM18 Master</v>
      </c>
      <c r="H206" s="20" t="s">
        <v>996</v>
      </c>
      <c r="I206" s="2">
        <v>43697</v>
      </c>
      <c r="J206" s="4">
        <f t="shared" si="27"/>
        <v>20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2</v>
      </c>
      <c r="Q206" s="3">
        <f t="shared" si="28"/>
        <v>2</v>
      </c>
      <c r="R206" s="1" t="s">
        <v>972</v>
      </c>
      <c r="S206" s="1" t="s">
        <v>23</v>
      </c>
      <c r="T206" s="3">
        <f t="shared" si="29"/>
        <v>0</v>
      </c>
      <c r="U206" s="44">
        <f>IF(Table1[[#This Row],[Initials]]="RM",$AE$10,IF(Table1[[#This Row],[Initials]]="JPH",$AE$11,IF(Table1[[#This Row],[Initials]]="IE",$AE$13,IF(Table1[[#This Row],[Initials]]="JM",$AE$14,1))))</f>
        <v>0.39500000000000002</v>
      </c>
      <c r="V206" s="3">
        <f>Table1[[#This Row],[FTE %]]*Table1[[#This Row],[Time Worked]]</f>
        <v>0.79</v>
      </c>
      <c r="W20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06" s="38">
        <f t="shared" si="30"/>
        <v>123.86</v>
      </c>
      <c r="Y206" s="18">
        <f t="shared" si="31"/>
        <v>0</v>
      </c>
    </row>
    <row r="207" spans="1:25" x14ac:dyDescent="0.25">
      <c r="A207" s="10">
        <f t="shared" si="24"/>
        <v>206</v>
      </c>
      <c r="B207" s="6" t="str">
        <f t="shared" si="25"/>
        <v>82120192600JM</v>
      </c>
      <c r="C207" s="1" t="s">
        <v>967</v>
      </c>
      <c r="D207" s="1" t="s">
        <v>996</v>
      </c>
      <c r="E207" s="53" t="str">
        <f t="shared" si="26"/>
        <v>Unbilled</v>
      </c>
      <c r="F207" s="1">
        <v>2600</v>
      </c>
      <c r="G207" s="37" t="str">
        <f>VLOOKUP(Table1[[#This Row],[WO'#]],Table2[#All],2,FALSE)</f>
        <v>SM18 Master</v>
      </c>
      <c r="H207" s="20" t="s">
        <v>996</v>
      </c>
      <c r="I207" s="2">
        <v>43698</v>
      </c>
      <c r="J207" s="4">
        <f t="shared" si="27"/>
        <v>21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3</v>
      </c>
      <c r="Q207" s="3">
        <f t="shared" si="28"/>
        <v>3</v>
      </c>
      <c r="R207" s="1" t="s">
        <v>972</v>
      </c>
      <c r="S207" s="1" t="s">
        <v>23</v>
      </c>
      <c r="T207" s="3">
        <f t="shared" si="29"/>
        <v>0</v>
      </c>
      <c r="U207" s="44">
        <f>IF(Table1[[#This Row],[Initials]]="RM",$AE$10,IF(Table1[[#This Row],[Initials]]="JPH",$AE$11,IF(Table1[[#This Row],[Initials]]="IE",$AE$13,IF(Table1[[#This Row],[Initials]]="JM",$AE$14,1))))</f>
        <v>0.39500000000000002</v>
      </c>
      <c r="V207" s="3">
        <f>Table1[[#This Row],[FTE %]]*Table1[[#This Row],[Time Worked]]</f>
        <v>1.1850000000000001</v>
      </c>
      <c r="W20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207" s="38">
        <f t="shared" si="30"/>
        <v>185.79</v>
      </c>
      <c r="Y207" s="18">
        <f t="shared" si="31"/>
        <v>0</v>
      </c>
    </row>
    <row r="208" spans="1:25" x14ac:dyDescent="0.25">
      <c r="A208" s="10">
        <f t="shared" si="24"/>
        <v>207</v>
      </c>
      <c r="B208" s="6" t="str">
        <f t="shared" si="25"/>
        <v>9320192606IE</v>
      </c>
      <c r="C208" s="1" t="s">
        <v>967</v>
      </c>
      <c r="D208" s="1" t="s">
        <v>996</v>
      </c>
      <c r="E208" s="53" t="str">
        <f t="shared" si="26"/>
        <v>Unbilled</v>
      </c>
      <c r="F208" s="1">
        <v>2606</v>
      </c>
      <c r="G208" s="37" t="str">
        <f>VLOOKUP(Table1[[#This Row],[WO'#]],Table2[#All],2,FALSE)</f>
        <v>SM18 Independence Valley</v>
      </c>
      <c r="H208" s="20" t="s">
        <v>996</v>
      </c>
      <c r="I208" s="2">
        <v>43711</v>
      </c>
      <c r="J208" s="4">
        <f t="shared" si="27"/>
        <v>3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0.5</v>
      </c>
      <c r="Q208" s="3">
        <f t="shared" si="28"/>
        <v>0.5</v>
      </c>
      <c r="R208" s="1" t="s">
        <v>971</v>
      </c>
      <c r="S208" s="1" t="s">
        <v>23</v>
      </c>
      <c r="T208" s="3">
        <f t="shared" si="29"/>
        <v>0</v>
      </c>
      <c r="U208" s="44">
        <f>IF(Table1[[#This Row],[Initials]]="RM",$AE$10,IF(Table1[[#This Row],[Initials]]="JPH",$AE$11,IF(Table1[[#This Row],[Initials]]="IE",$AE$13,IF(Table1[[#This Row],[Initials]]="JM",$AE$14,1))))</f>
        <v>1</v>
      </c>
      <c r="V208" s="3">
        <f>Table1[[#This Row],[FTE %]]*Table1[[#This Row],[Time Worked]]</f>
        <v>0.5</v>
      </c>
      <c r="W20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08" s="38">
        <f t="shared" si="30"/>
        <v>30.965</v>
      </c>
      <c r="Y208" s="18">
        <f t="shared" si="31"/>
        <v>0</v>
      </c>
    </row>
    <row r="209" spans="1:25" x14ac:dyDescent="0.25">
      <c r="A209" s="10">
        <f t="shared" si="24"/>
        <v>208</v>
      </c>
      <c r="B209" s="6" t="str">
        <f t="shared" si="25"/>
        <v>9420192606IE</v>
      </c>
      <c r="C209" s="1" t="s">
        <v>967</v>
      </c>
      <c r="D209" s="1" t="s">
        <v>996</v>
      </c>
      <c r="E209" s="53" t="str">
        <f t="shared" si="26"/>
        <v>Unbilled</v>
      </c>
      <c r="F209" s="1">
        <v>2606</v>
      </c>
      <c r="G209" s="37" t="str">
        <f>VLOOKUP(Table1[[#This Row],[WO'#]],Table2[#All],2,FALSE)</f>
        <v>SM18 Independence Valley</v>
      </c>
      <c r="H209" s="20" t="s">
        <v>996</v>
      </c>
      <c r="I209" s="2">
        <v>43712</v>
      </c>
      <c r="J209" s="4">
        <f t="shared" si="27"/>
        <v>4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4.5</v>
      </c>
      <c r="Q209" s="3">
        <f t="shared" si="28"/>
        <v>4.5</v>
      </c>
      <c r="R209" s="1" t="s">
        <v>971</v>
      </c>
      <c r="S209" s="1" t="s">
        <v>23</v>
      </c>
      <c r="T209" s="3">
        <f t="shared" si="29"/>
        <v>0</v>
      </c>
      <c r="U209" s="44">
        <f>IF(Table1[[#This Row],[Initials]]="RM",$AE$10,IF(Table1[[#This Row],[Initials]]="JPH",$AE$11,IF(Table1[[#This Row],[Initials]]="IE",$AE$13,IF(Table1[[#This Row],[Initials]]="JM",$AE$14,1))))</f>
        <v>1</v>
      </c>
      <c r="V209" s="3">
        <f>Table1[[#This Row],[FTE %]]*Table1[[#This Row],[Time Worked]]</f>
        <v>4.5</v>
      </c>
      <c r="W20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209" s="38">
        <f t="shared" si="30"/>
        <v>278.685</v>
      </c>
      <c r="Y209" s="18">
        <f t="shared" si="31"/>
        <v>0</v>
      </c>
    </row>
    <row r="210" spans="1:25" x14ac:dyDescent="0.25">
      <c r="A210" s="10">
        <f t="shared" si="24"/>
        <v>209</v>
      </c>
      <c r="B210" s="6" t="str">
        <f t="shared" si="25"/>
        <v>9520192606IE</v>
      </c>
      <c r="C210" s="1" t="s">
        <v>967</v>
      </c>
      <c r="D210" s="1" t="s">
        <v>996</v>
      </c>
      <c r="E210" s="53" t="str">
        <f t="shared" si="26"/>
        <v>Unbilled</v>
      </c>
      <c r="F210" s="1">
        <v>2606</v>
      </c>
      <c r="G210" s="37" t="str">
        <f>VLOOKUP(Table1[[#This Row],[WO'#]],Table2[#All],2,FALSE)</f>
        <v>SM18 Independence Valley</v>
      </c>
      <c r="H210" s="20" t="s">
        <v>996</v>
      </c>
      <c r="I210" s="2">
        <v>43713</v>
      </c>
      <c r="J210" s="4">
        <f t="shared" si="27"/>
        <v>5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6.5</v>
      </c>
      <c r="Q210" s="3">
        <f t="shared" si="28"/>
        <v>6.5</v>
      </c>
      <c r="R210" s="1" t="s">
        <v>971</v>
      </c>
      <c r="S210" s="1" t="s">
        <v>23</v>
      </c>
      <c r="T210" s="3">
        <f t="shared" si="29"/>
        <v>0</v>
      </c>
      <c r="U210" s="44">
        <f>IF(Table1[[#This Row],[Initials]]="RM",$AE$10,IF(Table1[[#This Row],[Initials]]="JPH",$AE$11,IF(Table1[[#This Row],[Initials]]="IE",$AE$13,IF(Table1[[#This Row],[Initials]]="JM",$AE$14,1))))</f>
        <v>1</v>
      </c>
      <c r="V210" s="3">
        <f>Table1[[#This Row],[FTE %]]*Table1[[#This Row],[Time Worked]]</f>
        <v>6.5</v>
      </c>
      <c r="W2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402.54500000000002</v>
      </c>
      <c r="X210" s="38">
        <f t="shared" si="30"/>
        <v>402.54500000000002</v>
      </c>
      <c r="Y210" s="18">
        <f t="shared" si="31"/>
        <v>0</v>
      </c>
    </row>
    <row r="211" spans="1:25" x14ac:dyDescent="0.25">
      <c r="A211" s="10">
        <f t="shared" si="24"/>
        <v>210</v>
      </c>
      <c r="B211" s="6" t="str">
        <f t="shared" si="25"/>
        <v>9520192606JM</v>
      </c>
      <c r="C211" s="1" t="s">
        <v>967</v>
      </c>
      <c r="D211" s="1" t="s">
        <v>996</v>
      </c>
      <c r="E211" s="53" t="str">
        <f t="shared" si="26"/>
        <v>Unbilled</v>
      </c>
      <c r="F211" s="1">
        <v>2606</v>
      </c>
      <c r="G211" s="37" t="str">
        <f>VLOOKUP(Table1[[#This Row],[WO'#]],Table2[#All],2,FALSE)</f>
        <v>SM18 Independence Valley</v>
      </c>
      <c r="H211" s="20" t="s">
        <v>996</v>
      </c>
      <c r="I211" s="2">
        <v>43713</v>
      </c>
      <c r="J211" s="4">
        <f t="shared" si="27"/>
        <v>5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0.5</v>
      </c>
      <c r="Q211" s="3">
        <f t="shared" si="28"/>
        <v>0.5</v>
      </c>
      <c r="R211" s="1" t="s">
        <v>972</v>
      </c>
      <c r="S211" s="1" t="s">
        <v>23</v>
      </c>
      <c r="T211" s="3">
        <f t="shared" si="29"/>
        <v>0</v>
      </c>
      <c r="U211" s="44">
        <f>IF(Table1[[#This Row],[Initials]]="RM",$AE$10,IF(Table1[[#This Row],[Initials]]="JPH",$AE$11,IF(Table1[[#This Row],[Initials]]="IE",$AE$13,IF(Table1[[#This Row],[Initials]]="JM",$AE$14,1))))</f>
        <v>0.39500000000000002</v>
      </c>
      <c r="V211" s="3">
        <f>Table1[[#This Row],[FTE %]]*Table1[[#This Row],[Time Worked]]</f>
        <v>0.19750000000000001</v>
      </c>
      <c r="W2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11" s="38">
        <f t="shared" si="30"/>
        <v>30.965</v>
      </c>
      <c r="Y211" s="18">
        <f t="shared" si="31"/>
        <v>0</v>
      </c>
    </row>
    <row r="212" spans="1:25" x14ac:dyDescent="0.25">
      <c r="A212" s="10">
        <f t="shared" si="24"/>
        <v>211</v>
      </c>
      <c r="B212" s="6" t="str">
        <f t="shared" si="25"/>
        <v>9920192606IE</v>
      </c>
      <c r="C212" s="1" t="s">
        <v>967</v>
      </c>
      <c r="D212" s="1" t="s">
        <v>996</v>
      </c>
      <c r="E212" s="53" t="str">
        <f t="shared" si="26"/>
        <v>Unbilled</v>
      </c>
      <c r="F212" s="1">
        <v>2606</v>
      </c>
      <c r="G212" s="37" t="str">
        <f>VLOOKUP(Table1[[#This Row],[WO'#]],Table2[#All],2,FALSE)</f>
        <v>SM18 Independence Valley</v>
      </c>
      <c r="H212" s="20" t="s">
        <v>996</v>
      </c>
      <c r="I212" s="2">
        <v>43717</v>
      </c>
      <c r="J212" s="4">
        <f t="shared" si="27"/>
        <v>9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4</v>
      </c>
      <c r="Q212" s="3">
        <f t="shared" si="28"/>
        <v>4</v>
      </c>
      <c r="R212" s="1" t="s">
        <v>971</v>
      </c>
      <c r="S212" s="1" t="s">
        <v>23</v>
      </c>
      <c r="T212" s="3">
        <f t="shared" si="29"/>
        <v>0</v>
      </c>
      <c r="U212" s="44">
        <f>IF(Table1[[#This Row],[Initials]]="RM",$AE$10,IF(Table1[[#This Row],[Initials]]="JPH",$AE$11,IF(Table1[[#This Row],[Initials]]="IE",$AE$13,IF(Table1[[#This Row],[Initials]]="JM",$AE$14,1))))</f>
        <v>1</v>
      </c>
      <c r="V212" s="3">
        <f>Table1[[#This Row],[FTE %]]*Table1[[#This Row],[Time Worked]]</f>
        <v>4</v>
      </c>
      <c r="W2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12" s="38">
        <f t="shared" si="30"/>
        <v>247.72</v>
      </c>
      <c r="Y212" s="18">
        <f t="shared" si="31"/>
        <v>0</v>
      </c>
    </row>
    <row r="213" spans="1:25" x14ac:dyDescent="0.25">
      <c r="A213" s="10">
        <f t="shared" si="24"/>
        <v>212</v>
      </c>
      <c r="B213" s="6" t="str">
        <f t="shared" si="25"/>
        <v>9520192607IE</v>
      </c>
      <c r="C213" s="1" t="s">
        <v>967</v>
      </c>
      <c r="D213" s="1" t="s">
        <v>996</v>
      </c>
      <c r="E213" s="53" t="str">
        <f t="shared" si="26"/>
        <v>Unbilled</v>
      </c>
      <c r="F213" s="1">
        <v>2607</v>
      </c>
      <c r="G213" s="37" t="str">
        <f>VLOOKUP(Table1[[#This Row],[WO'#]],Table2[#All],2,FALSE)</f>
        <v>SM18 Washoe City</v>
      </c>
      <c r="H213" s="20" t="s">
        <v>996</v>
      </c>
      <c r="I213" s="2">
        <v>43713</v>
      </c>
      <c r="J213" s="4">
        <f t="shared" si="27"/>
        <v>5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0.5</v>
      </c>
      <c r="Q213" s="3">
        <f t="shared" si="28"/>
        <v>0.5</v>
      </c>
      <c r="R213" s="1" t="s">
        <v>971</v>
      </c>
      <c r="S213" s="1" t="s">
        <v>23</v>
      </c>
      <c r="T213" s="3">
        <f t="shared" si="29"/>
        <v>0</v>
      </c>
      <c r="U213" s="44">
        <f>IF(Table1[[#This Row],[Initials]]="RM",$AE$10,IF(Table1[[#This Row],[Initials]]="JPH",$AE$11,IF(Table1[[#This Row],[Initials]]="IE",$AE$13,IF(Table1[[#This Row],[Initials]]="JM",$AE$14,1))))</f>
        <v>1</v>
      </c>
      <c r="V213" s="3">
        <f>Table1[[#This Row],[FTE %]]*Table1[[#This Row],[Time Worked]]</f>
        <v>0.5</v>
      </c>
      <c r="W2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13" s="38">
        <f t="shared" si="30"/>
        <v>30.965</v>
      </c>
      <c r="Y213" s="18">
        <f t="shared" si="31"/>
        <v>0</v>
      </c>
    </row>
    <row r="214" spans="1:25" x14ac:dyDescent="0.25">
      <c r="A214" s="10">
        <f t="shared" si="24"/>
        <v>213</v>
      </c>
      <c r="B214" s="6" t="str">
        <f t="shared" si="25"/>
        <v>91020192607IE</v>
      </c>
      <c r="C214" s="1" t="s">
        <v>967</v>
      </c>
      <c r="D214" s="1" t="s">
        <v>996</v>
      </c>
      <c r="E214" s="53" t="str">
        <f t="shared" si="26"/>
        <v>Unbilled</v>
      </c>
      <c r="F214" s="1">
        <v>2607</v>
      </c>
      <c r="G214" s="37" t="str">
        <f>VLOOKUP(Table1[[#This Row],[WO'#]],Table2[#All],2,FALSE)</f>
        <v>SM18 Washoe City</v>
      </c>
      <c r="H214" s="20" t="s">
        <v>996</v>
      </c>
      <c r="I214" s="2">
        <v>43718</v>
      </c>
      <c r="J214" s="4">
        <f t="shared" si="27"/>
        <v>10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2</v>
      </c>
      <c r="Q214" s="3">
        <f t="shared" si="28"/>
        <v>2</v>
      </c>
      <c r="R214" s="1" t="s">
        <v>971</v>
      </c>
      <c r="S214" s="1" t="s">
        <v>23</v>
      </c>
      <c r="T214" s="3">
        <f t="shared" si="29"/>
        <v>0</v>
      </c>
      <c r="U214" s="44">
        <f>IF(Table1[[#This Row],[Initials]]="RM",$AE$10,IF(Table1[[#This Row],[Initials]]="JPH",$AE$11,IF(Table1[[#This Row],[Initials]]="IE",$AE$13,IF(Table1[[#This Row],[Initials]]="JM",$AE$14,1))))</f>
        <v>1</v>
      </c>
      <c r="V214" s="3">
        <f>Table1[[#This Row],[FTE %]]*Table1[[#This Row],[Time Worked]]</f>
        <v>2</v>
      </c>
      <c r="W2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14" s="38">
        <f t="shared" si="30"/>
        <v>123.86</v>
      </c>
      <c r="Y214" s="18">
        <f t="shared" si="31"/>
        <v>0</v>
      </c>
    </row>
    <row r="215" spans="1:25" x14ac:dyDescent="0.25">
      <c r="A215" s="10">
        <f t="shared" si="24"/>
        <v>214</v>
      </c>
      <c r="B215" s="6" t="str">
        <f t="shared" si="25"/>
        <v>9320192617IE</v>
      </c>
      <c r="C215" s="1" t="s">
        <v>967</v>
      </c>
      <c r="D215" s="1" t="s">
        <v>996</v>
      </c>
      <c r="E215" s="53" t="str">
        <f t="shared" si="26"/>
        <v>Unbilled</v>
      </c>
      <c r="F215" s="1">
        <v>2617</v>
      </c>
      <c r="G215" s="37" t="str">
        <f>VLOOKUP(Table1[[#This Row],[WO'#]],Table2[#All],2,FALSE)</f>
        <v>Gabbs Valley</v>
      </c>
      <c r="H215" s="20" t="s">
        <v>996</v>
      </c>
      <c r="I215" s="2">
        <v>43711</v>
      </c>
      <c r="J215" s="4">
        <f t="shared" si="27"/>
        <v>3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0.5</v>
      </c>
      <c r="Q215" s="3">
        <f t="shared" si="28"/>
        <v>0.5</v>
      </c>
      <c r="R215" s="1" t="s">
        <v>971</v>
      </c>
      <c r="S215" s="1" t="s">
        <v>23</v>
      </c>
      <c r="T215" s="3">
        <f t="shared" si="29"/>
        <v>0</v>
      </c>
      <c r="U215" s="44">
        <f>IF(Table1[[#This Row],[Initials]]="RM",$AE$10,IF(Table1[[#This Row],[Initials]]="JPH",$AE$11,IF(Table1[[#This Row],[Initials]]="IE",$AE$13,IF(Table1[[#This Row],[Initials]]="JM",$AE$14,1))))</f>
        <v>1</v>
      </c>
      <c r="V215" s="3">
        <f>Table1[[#This Row],[FTE %]]*Table1[[#This Row],[Time Worked]]</f>
        <v>0.5</v>
      </c>
      <c r="W2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15" s="38">
        <f t="shared" si="30"/>
        <v>30.965</v>
      </c>
      <c r="Y215" s="18">
        <f t="shared" si="31"/>
        <v>0</v>
      </c>
    </row>
    <row r="216" spans="1:25" x14ac:dyDescent="0.25">
      <c r="A216" s="10">
        <f t="shared" si="24"/>
        <v>215</v>
      </c>
      <c r="B216" s="6" t="str">
        <f t="shared" si="25"/>
        <v>7120192624RM</v>
      </c>
      <c r="C216" s="1" t="s">
        <v>967</v>
      </c>
      <c r="D216" s="1" t="s">
        <v>996</v>
      </c>
      <c r="E216" s="1" t="str">
        <f t="shared" si="26"/>
        <v>Unbilled</v>
      </c>
      <c r="F216" s="1">
        <v>2624</v>
      </c>
      <c r="G216" s="37" t="str">
        <f>VLOOKUP(Table1[[#This Row],[WO'#]],Table2[#All],2,FALSE)</f>
        <v>Keck Website</v>
      </c>
      <c r="H216" s="20" t="s">
        <v>996</v>
      </c>
      <c r="I216" s="2">
        <v>43647</v>
      </c>
      <c r="J216" s="4">
        <f t="shared" si="27"/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2</v>
      </c>
      <c r="Q216" s="3">
        <f t="shared" si="28"/>
        <v>2</v>
      </c>
      <c r="R216" s="1" t="s">
        <v>17</v>
      </c>
      <c r="S216" s="1" t="s">
        <v>23</v>
      </c>
      <c r="T216" s="3">
        <f t="shared" si="29"/>
        <v>0</v>
      </c>
      <c r="U216" s="44">
        <f>IF(Table1[[#This Row],[Initials]]="RM",$AE$10,IF(Table1[[#This Row],[Initials]]="JPH",$AE$11,IF(Table1[[#This Row],[Initials]]="IE",$AE$13,IF(Table1[[#This Row],[Initials]]="JM",$AE$14,1))))</f>
        <v>0.5</v>
      </c>
      <c r="V216" s="3">
        <f>Table1[[#This Row],[FTE %]]*Table1[[#This Row],[Time Worked]]</f>
        <v>1</v>
      </c>
      <c r="W2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16" s="38">
        <f t="shared" si="30"/>
        <v>123.86</v>
      </c>
      <c r="Y216" s="18">
        <f t="shared" si="31"/>
        <v>0</v>
      </c>
    </row>
    <row r="217" spans="1:25" x14ac:dyDescent="0.25">
      <c r="A217" s="10">
        <f t="shared" si="24"/>
        <v>216</v>
      </c>
      <c r="B217" s="6" t="str">
        <f t="shared" si="25"/>
        <v>7220192624JM</v>
      </c>
      <c r="C217" s="1" t="s">
        <v>967</v>
      </c>
      <c r="D217" s="1" t="s">
        <v>996</v>
      </c>
      <c r="E217" s="1" t="str">
        <f t="shared" si="26"/>
        <v>Unbilled</v>
      </c>
      <c r="F217" s="1">
        <v>2624</v>
      </c>
      <c r="G217" s="37" t="str">
        <f>VLOOKUP(Table1[[#This Row],[WO'#]],Table2[#All],2,FALSE)</f>
        <v>Keck Website</v>
      </c>
      <c r="H217" s="20" t="s">
        <v>996</v>
      </c>
      <c r="I217" s="2">
        <v>43648</v>
      </c>
      <c r="J217" s="4">
        <f t="shared" si="27"/>
        <v>2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4</v>
      </c>
      <c r="Q217" s="3">
        <f t="shared" si="28"/>
        <v>4</v>
      </c>
      <c r="R217" s="1" t="s">
        <v>972</v>
      </c>
      <c r="S217" s="1" t="s">
        <v>23</v>
      </c>
      <c r="T217" s="3">
        <f t="shared" si="29"/>
        <v>0</v>
      </c>
      <c r="U217" s="44">
        <f>IF(Table1[[#This Row],[Initials]]="RM",$AE$10,IF(Table1[[#This Row],[Initials]]="JPH",$AE$11,IF(Table1[[#This Row],[Initials]]="IE",$AE$13,IF(Table1[[#This Row],[Initials]]="JM",$AE$14,1))))</f>
        <v>0.39500000000000002</v>
      </c>
      <c r="V217" s="3">
        <f>Table1[[#This Row],[FTE %]]*Table1[[#This Row],[Time Worked]]</f>
        <v>1.58</v>
      </c>
      <c r="W2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17" s="38">
        <f t="shared" si="30"/>
        <v>247.72</v>
      </c>
      <c r="Y217" s="18">
        <f t="shared" si="31"/>
        <v>0</v>
      </c>
    </row>
    <row r="218" spans="1:25" x14ac:dyDescent="0.25">
      <c r="A218" s="10">
        <f t="shared" si="24"/>
        <v>217</v>
      </c>
      <c r="B218" s="6" t="str">
        <f t="shared" si="25"/>
        <v>7220192624RM</v>
      </c>
      <c r="C218" s="1" t="s">
        <v>967</v>
      </c>
      <c r="D218" s="1" t="s">
        <v>996</v>
      </c>
      <c r="E218" s="1" t="str">
        <f t="shared" si="26"/>
        <v>Unbilled</v>
      </c>
      <c r="F218" s="1">
        <v>2624</v>
      </c>
      <c r="G218" s="37" t="str">
        <f>VLOOKUP(Table1[[#This Row],[WO'#]],Table2[#All],2,FALSE)</f>
        <v>Keck Website</v>
      </c>
      <c r="H218" s="20" t="s">
        <v>996</v>
      </c>
      <c r="I218" s="2">
        <v>43648</v>
      </c>
      <c r="J218" s="4">
        <f t="shared" si="27"/>
        <v>2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9</v>
      </c>
      <c r="Q218" s="3">
        <f t="shared" si="28"/>
        <v>9</v>
      </c>
      <c r="R218" s="1" t="s">
        <v>17</v>
      </c>
      <c r="S218" s="1" t="s">
        <v>23</v>
      </c>
      <c r="T218" s="3">
        <f t="shared" si="29"/>
        <v>0</v>
      </c>
      <c r="U218" s="44">
        <f>IF(Table1[[#This Row],[Initials]]="RM",$AE$10,IF(Table1[[#This Row],[Initials]]="JPH",$AE$11,IF(Table1[[#This Row],[Initials]]="IE",$AE$13,IF(Table1[[#This Row],[Initials]]="JM",$AE$14,1))))</f>
        <v>0.5</v>
      </c>
      <c r="V218" s="3">
        <f>Table1[[#This Row],[FTE %]]*Table1[[#This Row],[Time Worked]]</f>
        <v>4.5</v>
      </c>
      <c r="W2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218" s="38">
        <f t="shared" si="30"/>
        <v>557.37</v>
      </c>
      <c r="Y218" s="18">
        <f t="shared" si="31"/>
        <v>0</v>
      </c>
    </row>
    <row r="219" spans="1:25" x14ac:dyDescent="0.25">
      <c r="A219" s="10">
        <f t="shared" si="24"/>
        <v>218</v>
      </c>
      <c r="B219" s="6" t="str">
        <f t="shared" si="25"/>
        <v>7320192624JM</v>
      </c>
      <c r="C219" s="1" t="s">
        <v>967</v>
      </c>
      <c r="D219" s="1" t="s">
        <v>996</v>
      </c>
      <c r="E219" s="1" t="str">
        <f t="shared" si="26"/>
        <v>Unbilled</v>
      </c>
      <c r="F219" s="1">
        <v>2624</v>
      </c>
      <c r="G219" s="37" t="str">
        <f>VLOOKUP(Table1[[#This Row],[WO'#]],Table2[#All],2,FALSE)</f>
        <v>Keck Website</v>
      </c>
      <c r="H219" s="20" t="s">
        <v>996</v>
      </c>
      <c r="I219" s="2">
        <v>43649</v>
      </c>
      <c r="J219" s="4">
        <f t="shared" si="27"/>
        <v>3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1.5</v>
      </c>
      <c r="Q219" s="3">
        <f t="shared" si="28"/>
        <v>1.5</v>
      </c>
      <c r="R219" s="1" t="s">
        <v>972</v>
      </c>
      <c r="S219" s="1" t="s">
        <v>23</v>
      </c>
      <c r="T219" s="3">
        <f t="shared" si="29"/>
        <v>0</v>
      </c>
      <c r="U219" s="44">
        <f>IF(Table1[[#This Row],[Initials]]="RM",$AE$10,IF(Table1[[#This Row],[Initials]]="JPH",$AE$11,IF(Table1[[#This Row],[Initials]]="IE",$AE$13,IF(Table1[[#This Row],[Initials]]="JM",$AE$14,1))))</f>
        <v>0.39500000000000002</v>
      </c>
      <c r="V219" s="3">
        <f>Table1[[#This Row],[FTE %]]*Table1[[#This Row],[Time Worked]]</f>
        <v>0.59250000000000003</v>
      </c>
      <c r="W2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19" s="38">
        <f t="shared" si="30"/>
        <v>92.894999999999996</v>
      </c>
      <c r="Y219" s="18">
        <f t="shared" si="31"/>
        <v>0</v>
      </c>
    </row>
    <row r="220" spans="1:25" x14ac:dyDescent="0.25">
      <c r="A220" s="10">
        <f t="shared" si="24"/>
        <v>219</v>
      </c>
      <c r="B220" s="6" t="str">
        <f t="shared" si="25"/>
        <v>7320192624RM</v>
      </c>
      <c r="C220" s="1" t="s">
        <v>967</v>
      </c>
      <c r="D220" s="1" t="s">
        <v>996</v>
      </c>
      <c r="E220" s="1" t="str">
        <f t="shared" si="26"/>
        <v>Unbilled</v>
      </c>
      <c r="F220" s="1">
        <v>2624</v>
      </c>
      <c r="G220" s="37" t="str">
        <f>VLOOKUP(Table1[[#This Row],[WO'#]],Table2[#All],2,FALSE)</f>
        <v>Keck Website</v>
      </c>
      <c r="H220" s="20" t="s">
        <v>996</v>
      </c>
      <c r="I220" s="2">
        <v>43649</v>
      </c>
      <c r="J220" s="4">
        <f t="shared" si="27"/>
        <v>3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8</v>
      </c>
      <c r="Q220" s="3">
        <f t="shared" si="28"/>
        <v>8</v>
      </c>
      <c r="R220" s="1" t="s">
        <v>17</v>
      </c>
      <c r="S220" s="1" t="s">
        <v>23</v>
      </c>
      <c r="T220" s="3">
        <f t="shared" si="29"/>
        <v>0</v>
      </c>
      <c r="U220" s="44">
        <f>IF(Table1[[#This Row],[Initials]]="RM",$AE$10,IF(Table1[[#This Row],[Initials]]="JPH",$AE$11,IF(Table1[[#This Row],[Initials]]="IE",$AE$13,IF(Table1[[#This Row],[Initials]]="JM",$AE$14,1))))</f>
        <v>0.5</v>
      </c>
      <c r="V220" s="3">
        <f>Table1[[#This Row],[FTE %]]*Table1[[#This Row],[Time Worked]]</f>
        <v>4</v>
      </c>
      <c r="W2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20" s="38">
        <f t="shared" si="30"/>
        <v>495.44</v>
      </c>
      <c r="Y220" s="18">
        <f t="shared" si="31"/>
        <v>0</v>
      </c>
    </row>
    <row r="221" spans="1:25" x14ac:dyDescent="0.25">
      <c r="A221" s="10">
        <f t="shared" si="24"/>
        <v>220</v>
      </c>
      <c r="B221" s="6" t="str">
        <f t="shared" si="25"/>
        <v>7820192624RM</v>
      </c>
      <c r="C221" s="1" t="s">
        <v>967</v>
      </c>
      <c r="D221" s="1" t="s">
        <v>996</v>
      </c>
      <c r="E221" s="1" t="str">
        <f t="shared" si="26"/>
        <v>Unbilled</v>
      </c>
      <c r="F221" s="1">
        <v>2624</v>
      </c>
      <c r="G221" s="37" t="str">
        <f>VLOOKUP(Table1[[#This Row],[WO'#]],Table2[#All],2,FALSE)</f>
        <v>Keck Website</v>
      </c>
      <c r="H221" s="20" t="s">
        <v>996</v>
      </c>
      <c r="I221" s="2">
        <v>43654</v>
      </c>
      <c r="J221" s="4">
        <f t="shared" si="27"/>
        <v>8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4</v>
      </c>
      <c r="Q221" s="3">
        <f t="shared" si="28"/>
        <v>4</v>
      </c>
      <c r="R221" s="1" t="s">
        <v>17</v>
      </c>
      <c r="S221" s="1" t="s">
        <v>23</v>
      </c>
      <c r="T221" s="3">
        <f t="shared" si="29"/>
        <v>0</v>
      </c>
      <c r="U221" s="44">
        <f>IF(Table1[[#This Row],[Initials]]="RM",$AE$10,IF(Table1[[#This Row],[Initials]]="JPH",$AE$11,IF(Table1[[#This Row],[Initials]]="IE",$AE$13,IF(Table1[[#This Row],[Initials]]="JM",$AE$14,1))))</f>
        <v>0.5</v>
      </c>
      <c r="V221" s="3">
        <f>Table1[[#This Row],[FTE %]]*Table1[[#This Row],[Time Worked]]</f>
        <v>2</v>
      </c>
      <c r="W2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21" s="38">
        <f t="shared" si="30"/>
        <v>247.72</v>
      </c>
      <c r="Y221" s="18">
        <f t="shared" si="31"/>
        <v>0</v>
      </c>
    </row>
    <row r="222" spans="1:25" x14ac:dyDescent="0.25">
      <c r="A222" s="10">
        <f t="shared" si="24"/>
        <v>221</v>
      </c>
      <c r="B222" s="6" t="str">
        <f t="shared" si="25"/>
        <v>7920192624RM</v>
      </c>
      <c r="C222" s="1" t="s">
        <v>967</v>
      </c>
      <c r="D222" s="1" t="s">
        <v>996</v>
      </c>
      <c r="E222" s="1" t="str">
        <f t="shared" si="26"/>
        <v>Unbilled</v>
      </c>
      <c r="F222" s="1">
        <v>2624</v>
      </c>
      <c r="G222" s="37" t="str">
        <f>VLOOKUP(Table1[[#This Row],[WO'#]],Table2[#All],2,FALSE)</f>
        <v>Keck Website</v>
      </c>
      <c r="H222" s="20" t="s">
        <v>996</v>
      </c>
      <c r="I222" s="2">
        <v>43655</v>
      </c>
      <c r="J222" s="4">
        <f t="shared" si="27"/>
        <v>9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4</v>
      </c>
      <c r="Q222" s="3">
        <f t="shared" si="28"/>
        <v>4</v>
      </c>
      <c r="R222" s="1" t="s">
        <v>17</v>
      </c>
      <c r="S222" s="1" t="s">
        <v>23</v>
      </c>
      <c r="T222" s="3">
        <f t="shared" si="29"/>
        <v>0</v>
      </c>
      <c r="U222" s="44">
        <f>IF(Table1[[#This Row],[Initials]]="RM",$AE$10,IF(Table1[[#This Row],[Initials]]="JPH",$AE$11,IF(Table1[[#This Row],[Initials]]="IE",$AE$13,IF(Table1[[#This Row],[Initials]]="JM",$AE$14,1))))</f>
        <v>0.5</v>
      </c>
      <c r="V222" s="3">
        <f>Table1[[#This Row],[FTE %]]*Table1[[#This Row],[Time Worked]]</f>
        <v>2</v>
      </c>
      <c r="W2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22" s="38">
        <f t="shared" si="30"/>
        <v>247.72</v>
      </c>
      <c r="Y222" s="18">
        <f t="shared" si="31"/>
        <v>0</v>
      </c>
    </row>
    <row r="223" spans="1:25" x14ac:dyDescent="0.25">
      <c r="A223" s="10">
        <f t="shared" si="24"/>
        <v>222</v>
      </c>
      <c r="B223" s="6" t="str">
        <f t="shared" si="25"/>
        <v>71020192624JM</v>
      </c>
      <c r="C223" s="1" t="s">
        <v>967</v>
      </c>
      <c r="D223" s="1" t="s">
        <v>996</v>
      </c>
      <c r="E223" s="1" t="str">
        <f t="shared" si="26"/>
        <v>Unbilled</v>
      </c>
      <c r="F223" s="1">
        <v>2624</v>
      </c>
      <c r="G223" s="37" t="str">
        <f>VLOOKUP(Table1[[#This Row],[WO'#]],Table2[#All],2,FALSE)</f>
        <v>Keck Website</v>
      </c>
      <c r="H223" s="20" t="s">
        <v>996</v>
      </c>
      <c r="I223" s="2">
        <v>43656</v>
      </c>
      <c r="J223" s="4">
        <f t="shared" si="27"/>
        <v>10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2</v>
      </c>
      <c r="Q223" s="3">
        <f t="shared" si="28"/>
        <v>2</v>
      </c>
      <c r="R223" s="1" t="s">
        <v>972</v>
      </c>
      <c r="S223" s="1" t="s">
        <v>23</v>
      </c>
      <c r="T223" s="3">
        <f t="shared" si="29"/>
        <v>0</v>
      </c>
      <c r="U223" s="44">
        <f>IF(Table1[[#This Row],[Initials]]="RM",$AE$10,IF(Table1[[#This Row],[Initials]]="JPH",$AE$11,IF(Table1[[#This Row],[Initials]]="IE",$AE$13,IF(Table1[[#This Row],[Initials]]="JM",$AE$14,1))))</f>
        <v>0.39500000000000002</v>
      </c>
      <c r="V223" s="3">
        <f>Table1[[#This Row],[FTE %]]*Table1[[#This Row],[Time Worked]]</f>
        <v>0.79</v>
      </c>
      <c r="W2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23" s="38">
        <f t="shared" si="30"/>
        <v>123.86</v>
      </c>
      <c r="Y223" s="18">
        <f t="shared" si="31"/>
        <v>0</v>
      </c>
    </row>
    <row r="224" spans="1:25" x14ac:dyDescent="0.25">
      <c r="A224" s="10">
        <f t="shared" si="24"/>
        <v>223</v>
      </c>
      <c r="B224" s="6" t="str">
        <f t="shared" si="25"/>
        <v>71020192624RM</v>
      </c>
      <c r="C224" s="1" t="s">
        <v>967</v>
      </c>
      <c r="D224" s="1" t="s">
        <v>996</v>
      </c>
      <c r="E224" s="1" t="str">
        <f t="shared" si="26"/>
        <v>Unbilled</v>
      </c>
      <c r="F224" s="1">
        <v>2624</v>
      </c>
      <c r="G224" s="37" t="str">
        <f>VLOOKUP(Table1[[#This Row],[WO'#]],Table2[#All],2,FALSE)</f>
        <v>Keck Website</v>
      </c>
      <c r="H224" s="20" t="s">
        <v>996</v>
      </c>
      <c r="I224" s="2">
        <v>43656</v>
      </c>
      <c r="J224" s="4">
        <f t="shared" si="27"/>
        <v>10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2.5</v>
      </c>
      <c r="Q224" s="3">
        <f t="shared" si="28"/>
        <v>2.5</v>
      </c>
      <c r="R224" s="1" t="s">
        <v>17</v>
      </c>
      <c r="S224" s="1" t="s">
        <v>23</v>
      </c>
      <c r="T224" s="3">
        <f t="shared" si="29"/>
        <v>0</v>
      </c>
      <c r="U224" s="44">
        <f>IF(Table1[[#This Row],[Initials]]="RM",$AE$10,IF(Table1[[#This Row],[Initials]]="JPH",$AE$11,IF(Table1[[#This Row],[Initials]]="IE",$AE$13,IF(Table1[[#This Row],[Initials]]="JM",$AE$14,1))))</f>
        <v>0.5</v>
      </c>
      <c r="V224" s="3">
        <f>Table1[[#This Row],[FTE %]]*Table1[[#This Row],[Time Worked]]</f>
        <v>1.25</v>
      </c>
      <c r="W2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24" s="38">
        <f t="shared" si="30"/>
        <v>154.82499999999999</v>
      </c>
      <c r="Y224" s="18">
        <f t="shared" si="31"/>
        <v>0</v>
      </c>
    </row>
    <row r="225" spans="1:25" x14ac:dyDescent="0.25">
      <c r="A225" s="10">
        <f t="shared" si="24"/>
        <v>224</v>
      </c>
      <c r="B225" s="6" t="str">
        <f t="shared" si="25"/>
        <v>71120192624JM</v>
      </c>
      <c r="C225" s="1" t="s">
        <v>967</v>
      </c>
      <c r="D225" s="1" t="s">
        <v>996</v>
      </c>
      <c r="E225" s="1" t="str">
        <f t="shared" si="26"/>
        <v>Unbilled</v>
      </c>
      <c r="F225" s="1">
        <v>2624</v>
      </c>
      <c r="G225" s="37" t="str">
        <f>VLOOKUP(Table1[[#This Row],[WO'#]],Table2[#All],2,FALSE)</f>
        <v>Keck Website</v>
      </c>
      <c r="H225" s="20" t="s">
        <v>996</v>
      </c>
      <c r="I225" s="2">
        <v>43657</v>
      </c>
      <c r="J225" s="4">
        <f t="shared" si="27"/>
        <v>11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3">
        <v>0.25</v>
      </c>
      <c r="Q225" s="3">
        <f t="shared" si="28"/>
        <v>0.25</v>
      </c>
      <c r="R225" s="1" t="s">
        <v>972</v>
      </c>
      <c r="S225" s="1" t="s">
        <v>23</v>
      </c>
      <c r="T225" s="3">
        <f t="shared" si="29"/>
        <v>0</v>
      </c>
      <c r="U225" s="44">
        <f>IF(Table1[[#This Row],[Initials]]="RM",$AE$10,IF(Table1[[#This Row],[Initials]]="JPH",$AE$11,IF(Table1[[#This Row],[Initials]]="IE",$AE$13,IF(Table1[[#This Row],[Initials]]="JM",$AE$14,1))))</f>
        <v>0.39500000000000002</v>
      </c>
      <c r="V225" s="3">
        <f>Table1[[#This Row],[FTE %]]*Table1[[#This Row],[Time Worked]]</f>
        <v>9.8750000000000004E-2</v>
      </c>
      <c r="W2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25" s="38">
        <f t="shared" si="30"/>
        <v>15.4825</v>
      </c>
      <c r="Y225" s="18">
        <f t="shared" si="31"/>
        <v>0</v>
      </c>
    </row>
    <row r="226" spans="1:25" x14ac:dyDescent="0.25">
      <c r="A226" s="10">
        <f t="shared" si="24"/>
        <v>225</v>
      </c>
      <c r="B226" s="6" t="str">
        <f t="shared" si="25"/>
        <v>71120192624RM</v>
      </c>
      <c r="C226" s="1" t="s">
        <v>967</v>
      </c>
      <c r="D226" s="1" t="s">
        <v>996</v>
      </c>
      <c r="E226" s="1" t="str">
        <f t="shared" si="26"/>
        <v>Unbilled</v>
      </c>
      <c r="F226" s="1">
        <v>2624</v>
      </c>
      <c r="G226" s="37" t="str">
        <f>VLOOKUP(Table1[[#This Row],[WO'#]],Table2[#All],2,FALSE)</f>
        <v>Keck Website</v>
      </c>
      <c r="H226" s="20" t="s">
        <v>996</v>
      </c>
      <c r="I226" s="2">
        <v>43657</v>
      </c>
      <c r="J226" s="4">
        <f t="shared" si="27"/>
        <v>11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7.5</v>
      </c>
      <c r="Q226" s="3">
        <f t="shared" si="28"/>
        <v>7.5</v>
      </c>
      <c r="R226" s="1" t="s">
        <v>17</v>
      </c>
      <c r="S226" s="1" t="s">
        <v>23</v>
      </c>
      <c r="T226" s="3">
        <f t="shared" si="29"/>
        <v>0</v>
      </c>
      <c r="U226" s="44">
        <f>IF(Table1[[#This Row],[Initials]]="RM",$AE$10,IF(Table1[[#This Row],[Initials]]="JPH",$AE$11,IF(Table1[[#This Row],[Initials]]="IE",$AE$13,IF(Table1[[#This Row],[Initials]]="JM",$AE$14,1))))</f>
        <v>0.5</v>
      </c>
      <c r="V226" s="3">
        <f>Table1[[#This Row],[FTE %]]*Table1[[#This Row],[Time Worked]]</f>
        <v>3.75</v>
      </c>
      <c r="W2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226" s="38">
        <f t="shared" si="30"/>
        <v>464.47500000000002</v>
      </c>
      <c r="Y226" s="18">
        <f t="shared" si="31"/>
        <v>0</v>
      </c>
    </row>
    <row r="227" spans="1:25" x14ac:dyDescent="0.25">
      <c r="A227" s="10">
        <f t="shared" si="24"/>
        <v>226</v>
      </c>
      <c r="B227" s="6" t="str">
        <f t="shared" si="25"/>
        <v>71620192624RM</v>
      </c>
      <c r="C227" s="1" t="s">
        <v>967</v>
      </c>
      <c r="D227" s="1" t="s">
        <v>996</v>
      </c>
      <c r="E227" s="1" t="str">
        <f t="shared" si="26"/>
        <v>Unbilled</v>
      </c>
      <c r="F227" s="1">
        <v>2624</v>
      </c>
      <c r="G227" s="37" t="str">
        <f>VLOOKUP(Table1[[#This Row],[WO'#]],Table2[#All],2,FALSE)</f>
        <v>Keck Website</v>
      </c>
      <c r="H227" s="20" t="s">
        <v>996</v>
      </c>
      <c r="I227" s="2">
        <v>43662</v>
      </c>
      <c r="J227" s="4">
        <f t="shared" si="27"/>
        <v>16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7</v>
      </c>
      <c r="Q227" s="3">
        <f t="shared" si="28"/>
        <v>7</v>
      </c>
      <c r="R227" s="1" t="s">
        <v>17</v>
      </c>
      <c r="S227" s="1" t="s">
        <v>23</v>
      </c>
      <c r="T227" s="3">
        <f t="shared" si="29"/>
        <v>0</v>
      </c>
      <c r="U227" s="44">
        <f>IF(Table1[[#This Row],[Initials]]="RM",$AE$10,IF(Table1[[#This Row],[Initials]]="JPH",$AE$11,IF(Table1[[#This Row],[Initials]]="IE",$AE$13,IF(Table1[[#This Row],[Initials]]="JM",$AE$14,1))))</f>
        <v>0.5</v>
      </c>
      <c r="V227" s="3">
        <f>Table1[[#This Row],[FTE %]]*Table1[[#This Row],[Time Worked]]</f>
        <v>3.5</v>
      </c>
      <c r="W2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433.51</v>
      </c>
      <c r="X227" s="38">
        <f t="shared" si="30"/>
        <v>433.51</v>
      </c>
      <c r="Y227" s="18">
        <f t="shared" si="31"/>
        <v>0</v>
      </c>
    </row>
    <row r="228" spans="1:25" x14ac:dyDescent="0.25">
      <c r="A228" s="10">
        <f t="shared" si="24"/>
        <v>227</v>
      </c>
      <c r="B228" s="6" t="str">
        <f t="shared" si="25"/>
        <v>71720192624RM</v>
      </c>
      <c r="C228" s="1" t="s">
        <v>967</v>
      </c>
      <c r="D228" s="1" t="s">
        <v>996</v>
      </c>
      <c r="E228" s="1" t="str">
        <f t="shared" si="26"/>
        <v>Unbilled</v>
      </c>
      <c r="F228" s="1">
        <v>2624</v>
      </c>
      <c r="G228" s="37" t="str">
        <f>VLOOKUP(Table1[[#This Row],[WO'#]],Table2[#All],2,FALSE)</f>
        <v>Keck Website</v>
      </c>
      <c r="H228" s="20" t="s">
        <v>996</v>
      </c>
      <c r="I228" s="2">
        <v>43663</v>
      </c>
      <c r="J228" s="4">
        <f t="shared" si="27"/>
        <v>17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7.5</v>
      </c>
      <c r="Q228" s="3">
        <f t="shared" si="28"/>
        <v>7.5</v>
      </c>
      <c r="R228" s="1" t="s">
        <v>17</v>
      </c>
      <c r="S228" s="1" t="s">
        <v>23</v>
      </c>
      <c r="T228" s="3">
        <f t="shared" si="29"/>
        <v>0</v>
      </c>
      <c r="U228" s="44">
        <f>IF(Table1[[#This Row],[Initials]]="RM",$AE$10,IF(Table1[[#This Row],[Initials]]="JPH",$AE$11,IF(Table1[[#This Row],[Initials]]="IE",$AE$13,IF(Table1[[#This Row],[Initials]]="JM",$AE$14,1))))</f>
        <v>0.5</v>
      </c>
      <c r="V228" s="3">
        <f>Table1[[#This Row],[FTE %]]*Table1[[#This Row],[Time Worked]]</f>
        <v>3.75</v>
      </c>
      <c r="W2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228" s="38">
        <f t="shared" si="30"/>
        <v>464.47500000000002</v>
      </c>
      <c r="Y228" s="18">
        <f t="shared" si="31"/>
        <v>0</v>
      </c>
    </row>
    <row r="229" spans="1:25" x14ac:dyDescent="0.25">
      <c r="A229" s="10">
        <f t="shared" si="24"/>
        <v>228</v>
      </c>
      <c r="B229" s="6" t="str">
        <f t="shared" si="25"/>
        <v>71820192624JM</v>
      </c>
      <c r="C229" s="1" t="s">
        <v>967</v>
      </c>
      <c r="D229" s="1" t="s">
        <v>996</v>
      </c>
      <c r="E229" s="53" t="str">
        <f t="shared" si="26"/>
        <v>Unbilled</v>
      </c>
      <c r="F229" s="1">
        <v>2624</v>
      </c>
      <c r="G229" s="37" t="str">
        <f>VLOOKUP(Table1[[#This Row],[WO'#]],Table2[#All],2,FALSE)</f>
        <v>Keck Website</v>
      </c>
      <c r="H229" s="20" t="s">
        <v>996</v>
      </c>
      <c r="I229" s="2">
        <v>43664</v>
      </c>
      <c r="J229" s="4">
        <f t="shared" si="27"/>
        <v>18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0.25</v>
      </c>
      <c r="Q229" s="3">
        <f t="shared" si="28"/>
        <v>0.25</v>
      </c>
      <c r="R229" s="1" t="s">
        <v>972</v>
      </c>
      <c r="S229" s="1" t="s">
        <v>23</v>
      </c>
      <c r="T229" s="3">
        <f t="shared" si="29"/>
        <v>0</v>
      </c>
      <c r="U229" s="44">
        <f>IF(Table1[[#This Row],[Initials]]="RM",$AE$10,IF(Table1[[#This Row],[Initials]]="JPH",$AE$11,IF(Table1[[#This Row],[Initials]]="IE",$AE$13,IF(Table1[[#This Row],[Initials]]="JM",$AE$14,1))))</f>
        <v>0.39500000000000002</v>
      </c>
      <c r="V229" s="3">
        <f>Table1[[#This Row],[FTE %]]*Table1[[#This Row],[Time Worked]]</f>
        <v>9.8750000000000004E-2</v>
      </c>
      <c r="W2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29" s="38">
        <f t="shared" si="30"/>
        <v>15.4825</v>
      </c>
      <c r="Y229" s="18">
        <f t="shared" si="31"/>
        <v>0</v>
      </c>
    </row>
    <row r="230" spans="1:25" x14ac:dyDescent="0.25">
      <c r="A230" s="10">
        <f t="shared" si="24"/>
        <v>229</v>
      </c>
      <c r="B230" s="6" t="str">
        <f t="shared" si="25"/>
        <v>71820192624RM</v>
      </c>
      <c r="C230" s="1" t="s">
        <v>967</v>
      </c>
      <c r="D230" s="1" t="s">
        <v>996</v>
      </c>
      <c r="E230" s="53" t="str">
        <f t="shared" si="26"/>
        <v>Unbilled</v>
      </c>
      <c r="F230" s="1">
        <v>2624</v>
      </c>
      <c r="G230" s="37" t="str">
        <f>VLOOKUP(Table1[[#This Row],[WO'#]],Table2[#All],2,FALSE)</f>
        <v>Keck Website</v>
      </c>
      <c r="H230" s="20" t="s">
        <v>996</v>
      </c>
      <c r="I230" s="2">
        <v>43664</v>
      </c>
      <c r="J230" s="4">
        <f t="shared" si="27"/>
        <v>18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2.5</v>
      </c>
      <c r="Q230" s="3">
        <f t="shared" si="28"/>
        <v>2.5</v>
      </c>
      <c r="R230" s="1" t="s">
        <v>17</v>
      </c>
      <c r="S230" s="1" t="s">
        <v>23</v>
      </c>
      <c r="T230" s="3">
        <f t="shared" si="29"/>
        <v>0</v>
      </c>
      <c r="U230" s="44">
        <f>IF(Table1[[#This Row],[Initials]]="RM",$AE$10,IF(Table1[[#This Row],[Initials]]="JPH",$AE$11,IF(Table1[[#This Row],[Initials]]="IE",$AE$13,IF(Table1[[#This Row],[Initials]]="JM",$AE$14,1))))</f>
        <v>0.5</v>
      </c>
      <c r="V230" s="3">
        <f>Table1[[#This Row],[FTE %]]*Table1[[#This Row],[Time Worked]]</f>
        <v>1.25</v>
      </c>
      <c r="W2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30" s="38">
        <f t="shared" si="30"/>
        <v>154.82499999999999</v>
      </c>
      <c r="Y230" s="18">
        <f t="shared" si="31"/>
        <v>0</v>
      </c>
    </row>
    <row r="231" spans="1:25" x14ac:dyDescent="0.25">
      <c r="A231" s="10">
        <f t="shared" si="24"/>
        <v>230</v>
      </c>
      <c r="B231" s="6" t="str">
        <f t="shared" si="25"/>
        <v>71920192624JM</v>
      </c>
      <c r="C231" s="1" t="s">
        <v>967</v>
      </c>
      <c r="D231" s="1" t="s">
        <v>996</v>
      </c>
      <c r="E231" s="53" t="str">
        <f t="shared" si="26"/>
        <v>Unbilled</v>
      </c>
      <c r="F231" s="1">
        <v>2624</v>
      </c>
      <c r="G231" s="37" t="str">
        <f>VLOOKUP(Table1[[#This Row],[WO'#]],Table2[#All],2,FALSE)</f>
        <v>Keck Website</v>
      </c>
      <c r="H231" s="20" t="s">
        <v>996</v>
      </c>
      <c r="I231" s="2">
        <v>43665</v>
      </c>
      <c r="J231" s="4">
        <f t="shared" si="27"/>
        <v>19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0.5</v>
      </c>
      <c r="Q231" s="3">
        <f t="shared" si="28"/>
        <v>0.5</v>
      </c>
      <c r="R231" s="1" t="s">
        <v>972</v>
      </c>
      <c r="S231" s="1" t="s">
        <v>23</v>
      </c>
      <c r="T231" s="3">
        <f t="shared" si="29"/>
        <v>0</v>
      </c>
      <c r="U231" s="44">
        <f>IF(Table1[[#This Row],[Initials]]="RM",$AE$10,IF(Table1[[#This Row],[Initials]]="JPH",$AE$11,IF(Table1[[#This Row],[Initials]]="IE",$AE$13,IF(Table1[[#This Row],[Initials]]="JM",$AE$14,1))))</f>
        <v>0.39500000000000002</v>
      </c>
      <c r="V231" s="3">
        <f>Table1[[#This Row],[FTE %]]*Table1[[#This Row],[Time Worked]]</f>
        <v>0.19750000000000001</v>
      </c>
      <c r="W2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31" s="38">
        <f t="shared" si="30"/>
        <v>30.965</v>
      </c>
      <c r="Y231" s="18">
        <f t="shared" si="31"/>
        <v>0</v>
      </c>
    </row>
    <row r="232" spans="1:25" x14ac:dyDescent="0.25">
      <c r="A232" s="10">
        <f t="shared" si="24"/>
        <v>231</v>
      </c>
      <c r="B232" s="6" t="str">
        <f t="shared" si="25"/>
        <v>72220192624RM</v>
      </c>
      <c r="C232" s="1" t="s">
        <v>967</v>
      </c>
      <c r="D232" s="1" t="s">
        <v>996</v>
      </c>
      <c r="E232" s="53" t="str">
        <f t="shared" si="26"/>
        <v>Unbilled</v>
      </c>
      <c r="F232" s="1">
        <v>2624</v>
      </c>
      <c r="G232" s="37" t="str">
        <f>VLOOKUP(Table1[[#This Row],[WO'#]],Table2[#All],2,FALSE)</f>
        <v>Keck Website</v>
      </c>
      <c r="H232" s="20" t="s">
        <v>996</v>
      </c>
      <c r="I232" s="2">
        <v>43668</v>
      </c>
      <c r="J232" s="4">
        <f t="shared" si="27"/>
        <v>22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1.5</v>
      </c>
      <c r="Q232" s="3">
        <f t="shared" si="28"/>
        <v>1.5</v>
      </c>
      <c r="R232" s="1" t="s">
        <v>17</v>
      </c>
      <c r="S232" s="1" t="s">
        <v>23</v>
      </c>
      <c r="T232" s="3">
        <f t="shared" si="29"/>
        <v>0</v>
      </c>
      <c r="U232" s="44">
        <f>IF(Table1[[#This Row],[Initials]]="RM",$AE$10,IF(Table1[[#This Row],[Initials]]="JPH",$AE$11,IF(Table1[[#This Row],[Initials]]="IE",$AE$13,IF(Table1[[#This Row],[Initials]]="JM",$AE$14,1))))</f>
        <v>0.5</v>
      </c>
      <c r="V232" s="3">
        <f>Table1[[#This Row],[FTE %]]*Table1[[#This Row],[Time Worked]]</f>
        <v>0.75</v>
      </c>
      <c r="W2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32" s="38">
        <f t="shared" si="30"/>
        <v>92.894999999999996</v>
      </c>
      <c r="Y232" s="18">
        <f t="shared" si="31"/>
        <v>0</v>
      </c>
    </row>
    <row r="233" spans="1:25" x14ac:dyDescent="0.25">
      <c r="A233" s="10">
        <f t="shared" si="24"/>
        <v>232</v>
      </c>
      <c r="B233" s="6" t="str">
        <f t="shared" si="25"/>
        <v>72320192624JM</v>
      </c>
      <c r="C233" s="1" t="s">
        <v>967</v>
      </c>
      <c r="D233" s="1" t="s">
        <v>996</v>
      </c>
      <c r="E233" s="53" t="str">
        <f t="shared" si="26"/>
        <v>Unbilled</v>
      </c>
      <c r="F233" s="1">
        <v>2624</v>
      </c>
      <c r="G233" s="37" t="str">
        <f>VLOOKUP(Table1[[#This Row],[WO'#]],Table2[#All],2,FALSE)</f>
        <v>Keck Website</v>
      </c>
      <c r="H233" s="20" t="s">
        <v>996</v>
      </c>
      <c r="I233" s="2">
        <v>43669</v>
      </c>
      <c r="J233" s="4">
        <f t="shared" si="27"/>
        <v>23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1.25</v>
      </c>
      <c r="Q233" s="3">
        <f t="shared" si="28"/>
        <v>1.25</v>
      </c>
      <c r="R233" s="1" t="s">
        <v>972</v>
      </c>
      <c r="S233" s="1" t="s">
        <v>23</v>
      </c>
      <c r="T233" s="3">
        <f t="shared" si="29"/>
        <v>0</v>
      </c>
      <c r="U233" s="44">
        <f>IF(Table1[[#This Row],[Initials]]="RM",$AE$10,IF(Table1[[#This Row],[Initials]]="JPH",$AE$11,IF(Table1[[#This Row],[Initials]]="IE",$AE$13,IF(Table1[[#This Row],[Initials]]="JM",$AE$14,1))))</f>
        <v>0.39500000000000002</v>
      </c>
      <c r="V233" s="3">
        <f>Table1[[#This Row],[FTE %]]*Table1[[#This Row],[Time Worked]]</f>
        <v>0.49375000000000002</v>
      </c>
      <c r="W2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233" s="38">
        <f t="shared" si="30"/>
        <v>77.412499999999994</v>
      </c>
      <c r="Y233" s="18">
        <f t="shared" si="31"/>
        <v>0</v>
      </c>
    </row>
    <row r="234" spans="1:25" x14ac:dyDescent="0.25">
      <c r="A234" s="10">
        <f t="shared" si="24"/>
        <v>233</v>
      </c>
      <c r="B234" s="6" t="str">
        <f t="shared" si="25"/>
        <v>72420192624JM</v>
      </c>
      <c r="C234" s="1" t="s">
        <v>967</v>
      </c>
      <c r="D234" s="1" t="s">
        <v>996</v>
      </c>
      <c r="E234" s="53" t="str">
        <f t="shared" si="26"/>
        <v>Unbilled</v>
      </c>
      <c r="F234" s="1">
        <v>2624</v>
      </c>
      <c r="G234" s="37" t="str">
        <f>VLOOKUP(Table1[[#This Row],[WO'#]],Table2[#All],2,FALSE)</f>
        <v>Keck Website</v>
      </c>
      <c r="H234" s="20" t="s">
        <v>996</v>
      </c>
      <c r="I234" s="2">
        <v>43670</v>
      </c>
      <c r="J234" s="4">
        <f t="shared" si="27"/>
        <v>24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1</v>
      </c>
      <c r="Q234" s="3">
        <f t="shared" si="28"/>
        <v>1</v>
      </c>
      <c r="R234" s="1" t="s">
        <v>972</v>
      </c>
      <c r="S234" s="1" t="s">
        <v>23</v>
      </c>
      <c r="T234" s="3">
        <f t="shared" si="29"/>
        <v>0</v>
      </c>
      <c r="U234" s="44">
        <f>IF(Table1[[#This Row],[Initials]]="RM",$AE$10,IF(Table1[[#This Row],[Initials]]="JPH",$AE$11,IF(Table1[[#This Row],[Initials]]="IE",$AE$13,IF(Table1[[#This Row],[Initials]]="JM",$AE$14,1))))</f>
        <v>0.39500000000000002</v>
      </c>
      <c r="V234" s="3">
        <f>Table1[[#This Row],[FTE %]]*Table1[[#This Row],[Time Worked]]</f>
        <v>0.39500000000000002</v>
      </c>
      <c r="W2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34" s="38">
        <f t="shared" si="30"/>
        <v>61.93</v>
      </c>
      <c r="Y234" s="18">
        <f t="shared" si="31"/>
        <v>0</v>
      </c>
    </row>
    <row r="235" spans="1:25" x14ac:dyDescent="0.25">
      <c r="A235" s="10">
        <f t="shared" si="24"/>
        <v>234</v>
      </c>
      <c r="B235" s="6" t="str">
        <f t="shared" si="25"/>
        <v>72920192624RM</v>
      </c>
      <c r="C235" s="1" t="s">
        <v>967</v>
      </c>
      <c r="D235" s="1" t="s">
        <v>996</v>
      </c>
      <c r="E235" s="53" t="str">
        <f t="shared" si="26"/>
        <v>Unbilled</v>
      </c>
      <c r="F235" s="1">
        <v>2624</v>
      </c>
      <c r="G235" s="37" t="str">
        <f>VLOOKUP(Table1[[#This Row],[WO'#]],Table2[#All],2,FALSE)</f>
        <v>Keck Website</v>
      </c>
      <c r="H235" s="20" t="s">
        <v>996</v>
      </c>
      <c r="I235" s="2">
        <v>43675</v>
      </c>
      <c r="J235" s="4">
        <f t="shared" si="27"/>
        <v>29</v>
      </c>
      <c r="K235" s="3">
        <v>0</v>
      </c>
      <c r="L235" s="3">
        <v>0</v>
      </c>
      <c r="M235" s="3">
        <v>0</v>
      </c>
      <c r="N235" s="3">
        <v>0</v>
      </c>
      <c r="O235" s="3">
        <v>0</v>
      </c>
      <c r="P235" s="3">
        <v>2</v>
      </c>
      <c r="Q235" s="3">
        <f t="shared" si="28"/>
        <v>2</v>
      </c>
      <c r="R235" s="1" t="s">
        <v>17</v>
      </c>
      <c r="S235" s="1" t="s">
        <v>23</v>
      </c>
      <c r="T235" s="3">
        <f t="shared" si="29"/>
        <v>0</v>
      </c>
      <c r="U235" s="44">
        <f>IF(Table1[[#This Row],[Initials]]="RM",$AE$10,IF(Table1[[#This Row],[Initials]]="JPH",$AE$11,IF(Table1[[#This Row],[Initials]]="IE",$AE$13,IF(Table1[[#This Row],[Initials]]="JM",$AE$14,1))))</f>
        <v>0.5</v>
      </c>
      <c r="V235" s="3">
        <f>Table1[[#This Row],[FTE %]]*Table1[[#This Row],[Time Worked]]</f>
        <v>1</v>
      </c>
      <c r="W2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35" s="38">
        <f t="shared" si="30"/>
        <v>123.86</v>
      </c>
      <c r="Y235" s="18">
        <f t="shared" si="31"/>
        <v>0</v>
      </c>
    </row>
    <row r="236" spans="1:25" x14ac:dyDescent="0.25">
      <c r="A236" s="10">
        <f t="shared" si="24"/>
        <v>235</v>
      </c>
      <c r="B236" s="6" t="str">
        <f t="shared" si="25"/>
        <v>73020192624JM</v>
      </c>
      <c r="C236" s="1" t="s">
        <v>967</v>
      </c>
      <c r="D236" s="1" t="s">
        <v>996</v>
      </c>
      <c r="E236" s="53" t="str">
        <f t="shared" si="26"/>
        <v>Unbilled</v>
      </c>
      <c r="F236" s="1">
        <v>2624</v>
      </c>
      <c r="G236" s="37" t="str">
        <f>VLOOKUP(Table1[[#This Row],[WO'#]],Table2[#All],2,FALSE)</f>
        <v>Keck Website</v>
      </c>
      <c r="H236" s="20" t="s">
        <v>996</v>
      </c>
      <c r="I236" s="2">
        <v>43676</v>
      </c>
      <c r="J236" s="4">
        <f t="shared" si="27"/>
        <v>30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3">
        <v>1</v>
      </c>
      <c r="Q236" s="3">
        <f t="shared" si="28"/>
        <v>1</v>
      </c>
      <c r="R236" s="1" t="s">
        <v>972</v>
      </c>
      <c r="S236" s="1" t="s">
        <v>23</v>
      </c>
      <c r="T236" s="3">
        <f t="shared" si="29"/>
        <v>0</v>
      </c>
      <c r="U236" s="44">
        <f>IF(Table1[[#This Row],[Initials]]="RM",$AE$10,IF(Table1[[#This Row],[Initials]]="JPH",$AE$11,IF(Table1[[#This Row],[Initials]]="IE",$AE$13,IF(Table1[[#This Row],[Initials]]="JM",$AE$14,1))))</f>
        <v>0.39500000000000002</v>
      </c>
      <c r="V236" s="3">
        <f>Table1[[#This Row],[FTE %]]*Table1[[#This Row],[Time Worked]]</f>
        <v>0.39500000000000002</v>
      </c>
      <c r="W2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36" s="38">
        <f t="shared" si="30"/>
        <v>61.93</v>
      </c>
      <c r="Y236" s="18">
        <f t="shared" si="31"/>
        <v>0</v>
      </c>
    </row>
    <row r="237" spans="1:25" x14ac:dyDescent="0.25">
      <c r="A237" s="10">
        <f t="shared" si="24"/>
        <v>236</v>
      </c>
      <c r="B237" s="6" t="str">
        <f t="shared" si="25"/>
        <v>73020192624RM</v>
      </c>
      <c r="C237" s="1" t="s">
        <v>967</v>
      </c>
      <c r="D237" s="1" t="s">
        <v>996</v>
      </c>
      <c r="E237" s="53" t="str">
        <f t="shared" si="26"/>
        <v>Unbilled</v>
      </c>
      <c r="F237" s="1">
        <v>2624</v>
      </c>
      <c r="G237" s="37" t="str">
        <f>VLOOKUP(Table1[[#This Row],[WO'#]],Table2[#All],2,FALSE)</f>
        <v>Keck Website</v>
      </c>
      <c r="H237" s="20" t="s">
        <v>996</v>
      </c>
      <c r="I237" s="2">
        <v>43676</v>
      </c>
      <c r="J237" s="4">
        <f t="shared" si="27"/>
        <v>30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0.5</v>
      </c>
      <c r="Q237" s="3">
        <f t="shared" si="28"/>
        <v>0.5</v>
      </c>
      <c r="R237" s="1" t="s">
        <v>17</v>
      </c>
      <c r="S237" s="1" t="s">
        <v>23</v>
      </c>
      <c r="T237" s="3">
        <f t="shared" si="29"/>
        <v>0</v>
      </c>
      <c r="U237" s="44">
        <f>IF(Table1[[#This Row],[Initials]]="RM",$AE$10,IF(Table1[[#This Row],[Initials]]="JPH",$AE$11,IF(Table1[[#This Row],[Initials]]="IE",$AE$13,IF(Table1[[#This Row],[Initials]]="JM",$AE$14,1))))</f>
        <v>0.5</v>
      </c>
      <c r="V237" s="3">
        <f>Table1[[#This Row],[FTE %]]*Table1[[#This Row],[Time Worked]]</f>
        <v>0.25</v>
      </c>
      <c r="W2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37" s="38">
        <f t="shared" si="30"/>
        <v>30.965</v>
      </c>
      <c r="Y237" s="18">
        <f t="shared" si="31"/>
        <v>0</v>
      </c>
    </row>
    <row r="238" spans="1:25" x14ac:dyDescent="0.25">
      <c r="A238" s="10">
        <f t="shared" si="24"/>
        <v>237</v>
      </c>
      <c r="B238" s="6" t="str">
        <f t="shared" si="25"/>
        <v>8120192624JM</v>
      </c>
      <c r="C238" s="1" t="s">
        <v>967</v>
      </c>
      <c r="D238" s="1" t="s">
        <v>996</v>
      </c>
      <c r="E238" s="53" t="str">
        <f t="shared" si="26"/>
        <v>Unbilled</v>
      </c>
      <c r="F238" s="1">
        <v>2624</v>
      </c>
      <c r="G238" s="37" t="str">
        <f>VLOOKUP(Table1[[#This Row],[WO'#]],Table2[#All],2,FALSE)</f>
        <v>Keck Website</v>
      </c>
      <c r="H238" s="20" t="s">
        <v>996</v>
      </c>
      <c r="I238" s="2">
        <v>43678</v>
      </c>
      <c r="J238" s="4">
        <f t="shared" si="27"/>
        <v>1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4</v>
      </c>
      <c r="Q238" s="3">
        <f t="shared" si="28"/>
        <v>4</v>
      </c>
      <c r="R238" s="1" t="s">
        <v>972</v>
      </c>
      <c r="S238" s="1" t="s">
        <v>23</v>
      </c>
      <c r="T238" s="3">
        <f t="shared" si="29"/>
        <v>0</v>
      </c>
      <c r="U238" s="44">
        <f>IF(Table1[[#This Row],[Initials]]="RM",$AE$10,IF(Table1[[#This Row],[Initials]]="JPH",$AE$11,IF(Table1[[#This Row],[Initials]]="IE",$AE$13,IF(Table1[[#This Row],[Initials]]="JM",$AE$14,1))))</f>
        <v>0.39500000000000002</v>
      </c>
      <c r="V238" s="3">
        <f>Table1[[#This Row],[FTE %]]*Table1[[#This Row],[Time Worked]]</f>
        <v>1.58</v>
      </c>
      <c r="W2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38" s="38">
        <f t="shared" si="30"/>
        <v>247.72</v>
      </c>
      <c r="Y238" s="18">
        <f t="shared" si="31"/>
        <v>0</v>
      </c>
    </row>
    <row r="239" spans="1:25" x14ac:dyDescent="0.25">
      <c r="A239" s="10">
        <f t="shared" si="24"/>
        <v>238</v>
      </c>
      <c r="B239" s="6" t="str">
        <f t="shared" si="25"/>
        <v>8220192624JM</v>
      </c>
      <c r="C239" s="1" t="s">
        <v>967</v>
      </c>
      <c r="D239" s="1" t="s">
        <v>996</v>
      </c>
      <c r="E239" s="53" t="str">
        <f t="shared" si="26"/>
        <v>Unbilled</v>
      </c>
      <c r="F239" s="1">
        <v>2624</v>
      </c>
      <c r="G239" s="37" t="str">
        <f>VLOOKUP(Table1[[#This Row],[WO'#]],Table2[#All],2,FALSE)</f>
        <v>Keck Website</v>
      </c>
      <c r="H239" s="20" t="s">
        <v>996</v>
      </c>
      <c r="I239" s="2">
        <v>43679</v>
      </c>
      <c r="J239" s="4">
        <f t="shared" si="27"/>
        <v>2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0.5</v>
      </c>
      <c r="Q239" s="3">
        <f t="shared" si="28"/>
        <v>0.5</v>
      </c>
      <c r="R239" s="1" t="s">
        <v>972</v>
      </c>
      <c r="S239" s="1" t="s">
        <v>23</v>
      </c>
      <c r="T239" s="3">
        <f t="shared" si="29"/>
        <v>0</v>
      </c>
      <c r="U239" s="44">
        <f>IF(Table1[[#This Row],[Initials]]="RM",$AE$10,IF(Table1[[#This Row],[Initials]]="JPH",$AE$11,IF(Table1[[#This Row],[Initials]]="IE",$AE$13,IF(Table1[[#This Row],[Initials]]="JM",$AE$14,1))))</f>
        <v>0.39500000000000002</v>
      </c>
      <c r="V239" s="3">
        <f>Table1[[#This Row],[FTE %]]*Table1[[#This Row],[Time Worked]]</f>
        <v>0.19750000000000001</v>
      </c>
      <c r="W2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39" s="38">
        <f t="shared" si="30"/>
        <v>30.965</v>
      </c>
      <c r="Y239" s="18">
        <f t="shared" si="31"/>
        <v>0</v>
      </c>
    </row>
    <row r="240" spans="1:25" x14ac:dyDescent="0.25">
      <c r="A240" s="10">
        <f t="shared" si="24"/>
        <v>239</v>
      </c>
      <c r="B240" s="6" t="str">
        <f t="shared" si="25"/>
        <v>8520192624RM</v>
      </c>
      <c r="C240" s="1" t="s">
        <v>967</v>
      </c>
      <c r="D240" s="1" t="s">
        <v>996</v>
      </c>
      <c r="E240" s="53" t="str">
        <f t="shared" si="26"/>
        <v>Unbilled</v>
      </c>
      <c r="F240" s="1">
        <v>2624</v>
      </c>
      <c r="G240" s="37" t="str">
        <f>VLOOKUP(Table1[[#This Row],[WO'#]],Table2[#All],2,FALSE)</f>
        <v>Keck Website</v>
      </c>
      <c r="H240" s="20" t="s">
        <v>996</v>
      </c>
      <c r="I240" s="2">
        <v>43682</v>
      </c>
      <c r="J240" s="4">
        <f t="shared" si="27"/>
        <v>5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0.5</v>
      </c>
      <c r="Q240" s="3">
        <f t="shared" si="28"/>
        <v>0.5</v>
      </c>
      <c r="R240" s="1" t="s">
        <v>17</v>
      </c>
      <c r="S240" s="1" t="s">
        <v>23</v>
      </c>
      <c r="T240" s="3">
        <f t="shared" si="29"/>
        <v>0</v>
      </c>
      <c r="U240" s="44">
        <f>IF(Table1[[#This Row],[Initials]]="RM",$AE$10,IF(Table1[[#This Row],[Initials]]="JPH",$AE$11,IF(Table1[[#This Row],[Initials]]="IE",$AE$13,IF(Table1[[#This Row],[Initials]]="JM",$AE$14,1))))</f>
        <v>0.5</v>
      </c>
      <c r="V240" s="3">
        <f>Table1[[#This Row],[FTE %]]*Table1[[#This Row],[Time Worked]]</f>
        <v>0.25</v>
      </c>
      <c r="W2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40" s="38">
        <f t="shared" si="30"/>
        <v>30.965</v>
      </c>
      <c r="Y240" s="18">
        <f t="shared" si="31"/>
        <v>0</v>
      </c>
    </row>
    <row r="241" spans="1:25" x14ac:dyDescent="0.25">
      <c r="A241" s="10">
        <f t="shared" si="24"/>
        <v>240</v>
      </c>
      <c r="B241" s="6" t="str">
        <f t="shared" si="25"/>
        <v>8920192624JM</v>
      </c>
      <c r="C241" s="1" t="s">
        <v>967</v>
      </c>
      <c r="D241" s="1" t="s">
        <v>996</v>
      </c>
      <c r="E241" s="53" t="str">
        <f t="shared" si="26"/>
        <v>Unbilled</v>
      </c>
      <c r="F241" s="1">
        <v>2624</v>
      </c>
      <c r="G241" s="37" t="str">
        <f>VLOOKUP(Table1[[#This Row],[WO'#]],Table2[#All],2,FALSE)</f>
        <v>Keck Website</v>
      </c>
      <c r="H241" s="20" t="s">
        <v>996</v>
      </c>
      <c r="I241" s="2">
        <v>43686</v>
      </c>
      <c r="J241" s="4">
        <f t="shared" si="27"/>
        <v>9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2.5</v>
      </c>
      <c r="Q241" s="3">
        <f t="shared" si="28"/>
        <v>2.5</v>
      </c>
      <c r="R241" s="1" t="s">
        <v>972</v>
      </c>
      <c r="S241" s="1" t="s">
        <v>23</v>
      </c>
      <c r="T241" s="3">
        <f t="shared" si="29"/>
        <v>0</v>
      </c>
      <c r="U241" s="44">
        <f>IF(Table1[[#This Row],[Initials]]="RM",$AE$10,IF(Table1[[#This Row],[Initials]]="JPH",$AE$11,IF(Table1[[#This Row],[Initials]]="IE",$AE$13,IF(Table1[[#This Row],[Initials]]="JM",$AE$14,1))))</f>
        <v>0.39500000000000002</v>
      </c>
      <c r="V241" s="3">
        <f>Table1[[#This Row],[FTE %]]*Table1[[#This Row],[Time Worked]]</f>
        <v>0.98750000000000004</v>
      </c>
      <c r="W2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41" s="38">
        <f t="shared" si="30"/>
        <v>154.82499999999999</v>
      </c>
      <c r="Y241" s="18">
        <f t="shared" si="31"/>
        <v>0</v>
      </c>
    </row>
    <row r="242" spans="1:25" x14ac:dyDescent="0.25">
      <c r="A242" s="10">
        <f t="shared" si="24"/>
        <v>241</v>
      </c>
      <c r="B242" s="6" t="str">
        <f t="shared" si="25"/>
        <v>81420192624JM</v>
      </c>
      <c r="C242" s="1" t="s">
        <v>967</v>
      </c>
      <c r="D242" s="1" t="s">
        <v>996</v>
      </c>
      <c r="E242" s="53" t="str">
        <f t="shared" si="26"/>
        <v>Unbilled</v>
      </c>
      <c r="F242" s="1">
        <v>2624</v>
      </c>
      <c r="G242" s="37" t="str">
        <f>VLOOKUP(Table1[[#This Row],[WO'#]],Table2[#All],2,FALSE)</f>
        <v>Keck Website</v>
      </c>
      <c r="H242" s="20" t="s">
        <v>996</v>
      </c>
      <c r="I242" s="2">
        <v>43691</v>
      </c>
      <c r="J242" s="4">
        <f t="shared" si="27"/>
        <v>14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3">
        <v>0.5</v>
      </c>
      <c r="Q242" s="3">
        <f t="shared" si="28"/>
        <v>0.5</v>
      </c>
      <c r="R242" s="1" t="s">
        <v>972</v>
      </c>
      <c r="S242" s="1" t="s">
        <v>23</v>
      </c>
      <c r="T242" s="3">
        <f t="shared" si="29"/>
        <v>0</v>
      </c>
      <c r="U242" s="44">
        <f>IF(Table1[[#This Row],[Initials]]="RM",$AE$10,IF(Table1[[#This Row],[Initials]]="JPH",$AE$11,IF(Table1[[#This Row],[Initials]]="IE",$AE$13,IF(Table1[[#This Row],[Initials]]="JM",$AE$14,1))))</f>
        <v>0.39500000000000002</v>
      </c>
      <c r="V242" s="3">
        <f>Table1[[#This Row],[FTE %]]*Table1[[#This Row],[Time Worked]]</f>
        <v>0.19750000000000001</v>
      </c>
      <c r="W2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42" s="38">
        <f t="shared" si="30"/>
        <v>30.965</v>
      </c>
      <c r="Y242" s="18">
        <f t="shared" si="31"/>
        <v>0</v>
      </c>
    </row>
    <row r="243" spans="1:25" x14ac:dyDescent="0.25">
      <c r="A243" s="10">
        <f t="shared" si="24"/>
        <v>242</v>
      </c>
      <c r="B243" s="6" t="str">
        <f t="shared" si="25"/>
        <v>81620192624JM</v>
      </c>
      <c r="C243" s="1" t="s">
        <v>967</v>
      </c>
      <c r="D243" s="1" t="s">
        <v>996</v>
      </c>
      <c r="E243" s="53" t="str">
        <f t="shared" si="26"/>
        <v>Unbilled</v>
      </c>
      <c r="F243" s="1">
        <v>2624</v>
      </c>
      <c r="G243" s="37" t="str">
        <f>VLOOKUP(Table1[[#This Row],[WO'#]],Table2[#All],2,FALSE)</f>
        <v>Keck Website</v>
      </c>
      <c r="H243" s="20" t="s">
        <v>996</v>
      </c>
      <c r="I243" s="2">
        <v>43693</v>
      </c>
      <c r="J243" s="4">
        <f t="shared" si="27"/>
        <v>16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0.5</v>
      </c>
      <c r="Q243" s="3">
        <f t="shared" si="28"/>
        <v>0.5</v>
      </c>
      <c r="R243" s="1" t="s">
        <v>972</v>
      </c>
      <c r="S243" s="1" t="s">
        <v>23</v>
      </c>
      <c r="T243" s="3">
        <f t="shared" si="29"/>
        <v>0</v>
      </c>
      <c r="U243" s="44">
        <f>IF(Table1[[#This Row],[Initials]]="RM",$AE$10,IF(Table1[[#This Row],[Initials]]="JPH",$AE$11,IF(Table1[[#This Row],[Initials]]="IE",$AE$13,IF(Table1[[#This Row],[Initials]]="JM",$AE$14,1))))</f>
        <v>0.39500000000000002</v>
      </c>
      <c r="V243" s="3">
        <f>Table1[[#This Row],[FTE %]]*Table1[[#This Row],[Time Worked]]</f>
        <v>0.19750000000000001</v>
      </c>
      <c r="W2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43" s="38">
        <f t="shared" si="30"/>
        <v>30.965</v>
      </c>
      <c r="Y243" s="18">
        <f t="shared" si="31"/>
        <v>0</v>
      </c>
    </row>
    <row r="244" spans="1:25" x14ac:dyDescent="0.25">
      <c r="A244" s="10">
        <f t="shared" si="24"/>
        <v>243</v>
      </c>
      <c r="B244" s="6" t="str">
        <f t="shared" si="25"/>
        <v>82020192624JM</v>
      </c>
      <c r="C244" s="1" t="s">
        <v>967</v>
      </c>
      <c r="D244" s="1" t="s">
        <v>996</v>
      </c>
      <c r="E244" s="53" t="str">
        <f t="shared" si="26"/>
        <v>Unbilled</v>
      </c>
      <c r="F244" s="1">
        <v>2624</v>
      </c>
      <c r="G244" s="37" t="str">
        <f>VLOOKUP(Table1[[#This Row],[WO'#]],Table2[#All],2,FALSE)</f>
        <v>Keck Website</v>
      </c>
      <c r="H244" s="20" t="s">
        <v>996</v>
      </c>
      <c r="I244" s="2">
        <v>43697</v>
      </c>
      <c r="J244" s="4">
        <f t="shared" si="27"/>
        <v>20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4.75</v>
      </c>
      <c r="Q244" s="3">
        <f t="shared" si="28"/>
        <v>4.75</v>
      </c>
      <c r="R244" s="1" t="s">
        <v>972</v>
      </c>
      <c r="S244" s="1" t="s">
        <v>23</v>
      </c>
      <c r="T244" s="3">
        <f t="shared" si="29"/>
        <v>0</v>
      </c>
      <c r="U244" s="44">
        <f>IF(Table1[[#This Row],[Initials]]="RM",$AE$10,IF(Table1[[#This Row],[Initials]]="JPH",$AE$11,IF(Table1[[#This Row],[Initials]]="IE",$AE$13,IF(Table1[[#This Row],[Initials]]="JM",$AE$14,1))))</f>
        <v>0.39500000000000002</v>
      </c>
      <c r="V244" s="3">
        <f>Table1[[#This Row],[FTE %]]*Table1[[#This Row],[Time Worked]]</f>
        <v>1.8762500000000002</v>
      </c>
      <c r="W2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294.16750000000002</v>
      </c>
      <c r="X244" s="38">
        <f t="shared" si="30"/>
        <v>294.16750000000002</v>
      </c>
      <c r="Y244" s="18">
        <f t="shared" si="31"/>
        <v>0</v>
      </c>
    </row>
    <row r="245" spans="1:25" x14ac:dyDescent="0.25">
      <c r="A245" s="10">
        <f t="shared" si="24"/>
        <v>244</v>
      </c>
      <c r="B245" s="6" t="str">
        <f t="shared" si="25"/>
        <v>82020192624RM</v>
      </c>
      <c r="C245" s="1" t="s">
        <v>967</v>
      </c>
      <c r="D245" s="1" t="s">
        <v>996</v>
      </c>
      <c r="E245" s="53" t="str">
        <f t="shared" si="26"/>
        <v>Unbilled</v>
      </c>
      <c r="F245" s="1">
        <v>2624</v>
      </c>
      <c r="G245" s="37" t="str">
        <f>VLOOKUP(Table1[[#This Row],[WO'#]],Table2[#All],2,FALSE)</f>
        <v>Keck Website</v>
      </c>
      <c r="H245" s="20" t="s">
        <v>996</v>
      </c>
      <c r="I245" s="2">
        <v>43697</v>
      </c>
      <c r="J245" s="4">
        <f t="shared" si="27"/>
        <v>20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7.5</v>
      </c>
      <c r="Q245" s="3">
        <f t="shared" si="28"/>
        <v>7.5</v>
      </c>
      <c r="R245" s="1" t="s">
        <v>17</v>
      </c>
      <c r="S245" s="1" t="s">
        <v>23</v>
      </c>
      <c r="T245" s="3">
        <f t="shared" si="29"/>
        <v>0</v>
      </c>
      <c r="U245" s="44">
        <f>IF(Table1[[#This Row],[Initials]]="RM",$AE$10,IF(Table1[[#This Row],[Initials]]="JPH",$AE$11,IF(Table1[[#This Row],[Initials]]="IE",$AE$13,IF(Table1[[#This Row],[Initials]]="JM",$AE$14,1))))</f>
        <v>0.5</v>
      </c>
      <c r="V245" s="3">
        <f>Table1[[#This Row],[FTE %]]*Table1[[#This Row],[Time Worked]]</f>
        <v>3.75</v>
      </c>
      <c r="W2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245" s="38">
        <f t="shared" si="30"/>
        <v>464.47500000000002</v>
      </c>
      <c r="Y245" s="18">
        <f t="shared" si="31"/>
        <v>0</v>
      </c>
    </row>
    <row r="246" spans="1:25" x14ac:dyDescent="0.25">
      <c r="A246" s="10">
        <f t="shared" si="24"/>
        <v>245</v>
      </c>
      <c r="B246" s="6" t="str">
        <f t="shared" si="25"/>
        <v>82120192624JM</v>
      </c>
      <c r="C246" s="1" t="s">
        <v>967</v>
      </c>
      <c r="D246" s="1" t="s">
        <v>996</v>
      </c>
      <c r="E246" s="53" t="str">
        <f t="shared" si="26"/>
        <v>Unbilled</v>
      </c>
      <c r="F246" s="1">
        <v>2624</v>
      </c>
      <c r="G246" s="37" t="str">
        <f>VLOOKUP(Table1[[#This Row],[WO'#]],Table2[#All],2,FALSE)</f>
        <v>Keck Website</v>
      </c>
      <c r="H246" s="20" t="s">
        <v>996</v>
      </c>
      <c r="I246" s="2">
        <v>43698</v>
      </c>
      <c r="J246" s="4">
        <f t="shared" si="27"/>
        <v>21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1.75</v>
      </c>
      <c r="Q246" s="3">
        <f t="shared" si="28"/>
        <v>1.75</v>
      </c>
      <c r="R246" s="1" t="s">
        <v>972</v>
      </c>
      <c r="S246" s="1" t="s">
        <v>23</v>
      </c>
      <c r="T246" s="3">
        <f t="shared" si="29"/>
        <v>0</v>
      </c>
      <c r="U246" s="44">
        <f>IF(Table1[[#This Row],[Initials]]="RM",$AE$10,IF(Table1[[#This Row],[Initials]]="JPH",$AE$11,IF(Table1[[#This Row],[Initials]]="IE",$AE$13,IF(Table1[[#This Row],[Initials]]="JM",$AE$14,1))))</f>
        <v>0.39500000000000002</v>
      </c>
      <c r="V246" s="3">
        <f>Table1[[#This Row],[FTE %]]*Table1[[#This Row],[Time Worked]]</f>
        <v>0.69125000000000003</v>
      </c>
      <c r="W2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246" s="38">
        <f t="shared" si="30"/>
        <v>108.3775</v>
      </c>
      <c r="Y246" s="18">
        <f t="shared" si="31"/>
        <v>0</v>
      </c>
    </row>
    <row r="247" spans="1:25" x14ac:dyDescent="0.25">
      <c r="A247" s="10">
        <f t="shared" si="24"/>
        <v>246</v>
      </c>
      <c r="B247" s="6" t="str">
        <f t="shared" si="25"/>
        <v>82120192624RM</v>
      </c>
      <c r="C247" s="1" t="s">
        <v>967</v>
      </c>
      <c r="D247" s="1" t="s">
        <v>996</v>
      </c>
      <c r="E247" s="53" t="str">
        <f t="shared" si="26"/>
        <v>Unbilled</v>
      </c>
      <c r="F247" s="1">
        <v>2624</v>
      </c>
      <c r="G247" s="37" t="str">
        <f>VLOOKUP(Table1[[#This Row],[WO'#]],Table2[#All],2,FALSE)</f>
        <v>Keck Website</v>
      </c>
      <c r="H247" s="20" t="s">
        <v>996</v>
      </c>
      <c r="I247" s="2">
        <v>43698</v>
      </c>
      <c r="J247" s="4">
        <f t="shared" si="27"/>
        <v>21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3">
        <v>6</v>
      </c>
      <c r="Q247" s="3">
        <f t="shared" si="28"/>
        <v>6</v>
      </c>
      <c r="R247" s="1" t="s">
        <v>17</v>
      </c>
      <c r="S247" s="1" t="s">
        <v>23</v>
      </c>
      <c r="T247" s="3">
        <f t="shared" si="29"/>
        <v>0</v>
      </c>
      <c r="U247" s="44">
        <f>IF(Table1[[#This Row],[Initials]]="RM",$AE$10,IF(Table1[[#This Row],[Initials]]="JPH",$AE$11,IF(Table1[[#This Row],[Initials]]="IE",$AE$13,IF(Table1[[#This Row],[Initials]]="JM",$AE$14,1))))</f>
        <v>0.5</v>
      </c>
      <c r="V247" s="3">
        <f>Table1[[#This Row],[FTE %]]*Table1[[#This Row],[Time Worked]]</f>
        <v>3</v>
      </c>
      <c r="W2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247" s="38">
        <f t="shared" si="30"/>
        <v>371.58</v>
      </c>
      <c r="Y247" s="18">
        <f t="shared" si="31"/>
        <v>0</v>
      </c>
    </row>
    <row r="248" spans="1:25" x14ac:dyDescent="0.25">
      <c r="A248" s="10">
        <f t="shared" si="24"/>
        <v>247</v>
      </c>
      <c r="B248" s="6" t="str">
        <f t="shared" si="25"/>
        <v>82220192624JM</v>
      </c>
      <c r="C248" s="1" t="s">
        <v>967</v>
      </c>
      <c r="D248" s="1" t="s">
        <v>996</v>
      </c>
      <c r="E248" s="53" t="str">
        <f t="shared" si="26"/>
        <v>Unbilled</v>
      </c>
      <c r="F248" s="1">
        <v>2624</v>
      </c>
      <c r="G248" s="37" t="str">
        <f>VLOOKUP(Table1[[#This Row],[WO'#]],Table2[#All],2,FALSE)</f>
        <v>Keck Website</v>
      </c>
      <c r="H248" s="20" t="s">
        <v>996</v>
      </c>
      <c r="I248" s="2">
        <v>43699</v>
      </c>
      <c r="J248" s="4">
        <f t="shared" si="27"/>
        <v>22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0.25</v>
      </c>
      <c r="Q248" s="3">
        <f t="shared" si="28"/>
        <v>0.25</v>
      </c>
      <c r="R248" s="1" t="s">
        <v>972</v>
      </c>
      <c r="S248" s="1" t="s">
        <v>23</v>
      </c>
      <c r="T248" s="3">
        <f t="shared" si="29"/>
        <v>0</v>
      </c>
      <c r="U248" s="44">
        <f>IF(Table1[[#This Row],[Initials]]="RM",$AE$10,IF(Table1[[#This Row],[Initials]]="JPH",$AE$11,IF(Table1[[#This Row],[Initials]]="IE",$AE$13,IF(Table1[[#This Row],[Initials]]="JM",$AE$14,1))))</f>
        <v>0.39500000000000002</v>
      </c>
      <c r="V248" s="3">
        <f>Table1[[#This Row],[FTE %]]*Table1[[#This Row],[Time Worked]]</f>
        <v>9.8750000000000004E-2</v>
      </c>
      <c r="W2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48" s="38">
        <f t="shared" si="30"/>
        <v>15.4825</v>
      </c>
      <c r="Y248" s="18">
        <f t="shared" si="31"/>
        <v>0</v>
      </c>
    </row>
    <row r="249" spans="1:25" x14ac:dyDescent="0.25">
      <c r="A249" s="10">
        <f t="shared" si="24"/>
        <v>248</v>
      </c>
      <c r="B249" s="6" t="str">
        <f t="shared" si="25"/>
        <v>82220192624RM</v>
      </c>
      <c r="C249" s="1" t="s">
        <v>967</v>
      </c>
      <c r="D249" s="1" t="s">
        <v>996</v>
      </c>
      <c r="E249" s="53" t="str">
        <f t="shared" si="26"/>
        <v>Unbilled</v>
      </c>
      <c r="F249" s="1">
        <v>2624</v>
      </c>
      <c r="G249" s="37" t="str">
        <f>VLOOKUP(Table1[[#This Row],[WO'#]],Table2[#All],2,FALSE)</f>
        <v>Keck Website</v>
      </c>
      <c r="H249" s="20" t="s">
        <v>996</v>
      </c>
      <c r="I249" s="2">
        <v>43699</v>
      </c>
      <c r="J249" s="4">
        <f t="shared" si="27"/>
        <v>22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0.5</v>
      </c>
      <c r="Q249" s="3">
        <f t="shared" si="28"/>
        <v>0.5</v>
      </c>
      <c r="R249" s="1" t="s">
        <v>17</v>
      </c>
      <c r="S249" s="1" t="s">
        <v>23</v>
      </c>
      <c r="T249" s="3">
        <f t="shared" si="29"/>
        <v>0</v>
      </c>
      <c r="U249" s="44">
        <f>IF(Table1[[#This Row],[Initials]]="RM",$AE$10,IF(Table1[[#This Row],[Initials]]="JPH",$AE$11,IF(Table1[[#This Row],[Initials]]="IE",$AE$13,IF(Table1[[#This Row],[Initials]]="JM",$AE$14,1))))</f>
        <v>0.5</v>
      </c>
      <c r="V249" s="3">
        <f>Table1[[#This Row],[FTE %]]*Table1[[#This Row],[Time Worked]]</f>
        <v>0.25</v>
      </c>
      <c r="W2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49" s="38">
        <f t="shared" si="30"/>
        <v>30.965</v>
      </c>
      <c r="Y249" s="18">
        <f t="shared" si="31"/>
        <v>0</v>
      </c>
    </row>
    <row r="250" spans="1:25" x14ac:dyDescent="0.25">
      <c r="A250" s="10">
        <f t="shared" si="24"/>
        <v>249</v>
      </c>
      <c r="B250" s="6" t="str">
        <f t="shared" si="25"/>
        <v>82620192624RM</v>
      </c>
      <c r="C250" s="1" t="s">
        <v>967</v>
      </c>
      <c r="D250" s="1" t="s">
        <v>996</v>
      </c>
      <c r="E250" s="53" t="str">
        <f t="shared" si="26"/>
        <v>Unbilled</v>
      </c>
      <c r="F250" s="1">
        <v>2624</v>
      </c>
      <c r="G250" s="37" t="str">
        <f>VLOOKUP(Table1[[#This Row],[WO'#]],Table2[#All],2,FALSE)</f>
        <v>Keck Website</v>
      </c>
      <c r="H250" s="20" t="s">
        <v>996</v>
      </c>
      <c r="I250" s="2">
        <v>43703</v>
      </c>
      <c r="J250" s="4">
        <f t="shared" si="27"/>
        <v>26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1</v>
      </c>
      <c r="Q250" s="3">
        <f t="shared" si="28"/>
        <v>1</v>
      </c>
      <c r="R250" s="1" t="s">
        <v>17</v>
      </c>
      <c r="S250" s="1" t="s">
        <v>23</v>
      </c>
      <c r="T250" s="3">
        <f t="shared" si="29"/>
        <v>0</v>
      </c>
      <c r="U250" s="44">
        <f>IF(Table1[[#This Row],[Initials]]="RM",$AE$10,IF(Table1[[#This Row],[Initials]]="JPH",$AE$11,IF(Table1[[#This Row],[Initials]]="IE",$AE$13,IF(Table1[[#This Row],[Initials]]="JM",$AE$14,1))))</f>
        <v>0.5</v>
      </c>
      <c r="V250" s="3">
        <f>Table1[[#This Row],[FTE %]]*Table1[[#This Row],[Time Worked]]</f>
        <v>0.5</v>
      </c>
      <c r="W2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0" s="38">
        <f t="shared" si="30"/>
        <v>61.93</v>
      </c>
      <c r="Y250" s="18">
        <f t="shared" si="31"/>
        <v>0</v>
      </c>
    </row>
    <row r="251" spans="1:25" x14ac:dyDescent="0.25">
      <c r="A251" s="10">
        <f t="shared" si="24"/>
        <v>250</v>
      </c>
      <c r="B251" s="6" t="str">
        <f t="shared" si="25"/>
        <v>82720192624RM</v>
      </c>
      <c r="C251" s="1" t="s">
        <v>967</v>
      </c>
      <c r="D251" s="1" t="s">
        <v>996</v>
      </c>
      <c r="E251" s="53" t="str">
        <f t="shared" si="26"/>
        <v>Unbilled</v>
      </c>
      <c r="F251" s="1">
        <v>2624</v>
      </c>
      <c r="G251" s="37" t="str">
        <f>VLOOKUP(Table1[[#This Row],[WO'#]],Table2[#All],2,FALSE)</f>
        <v>Keck Website</v>
      </c>
      <c r="H251" s="20" t="s">
        <v>996</v>
      </c>
      <c r="I251" s="2">
        <v>43704</v>
      </c>
      <c r="J251" s="4">
        <f t="shared" si="27"/>
        <v>27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1</v>
      </c>
      <c r="Q251" s="3">
        <f t="shared" si="28"/>
        <v>1</v>
      </c>
      <c r="R251" s="1" t="s">
        <v>17</v>
      </c>
      <c r="S251" s="1" t="s">
        <v>23</v>
      </c>
      <c r="T251" s="3">
        <f t="shared" si="29"/>
        <v>0</v>
      </c>
      <c r="U251" s="44">
        <f>IF(Table1[[#This Row],[Initials]]="RM",$AE$10,IF(Table1[[#This Row],[Initials]]="JPH",$AE$11,IF(Table1[[#This Row],[Initials]]="IE",$AE$13,IF(Table1[[#This Row],[Initials]]="JM",$AE$14,1))))</f>
        <v>0.5</v>
      </c>
      <c r="V251" s="3">
        <f>Table1[[#This Row],[FTE %]]*Table1[[#This Row],[Time Worked]]</f>
        <v>0.5</v>
      </c>
      <c r="W25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1" s="38">
        <f t="shared" si="30"/>
        <v>61.93</v>
      </c>
      <c r="Y251" s="18">
        <f t="shared" si="31"/>
        <v>0</v>
      </c>
    </row>
    <row r="252" spans="1:25" x14ac:dyDescent="0.25">
      <c r="A252" s="10">
        <f t="shared" si="24"/>
        <v>251</v>
      </c>
      <c r="B252" s="6" t="str">
        <f t="shared" si="25"/>
        <v>82820192624RM</v>
      </c>
      <c r="C252" s="1" t="s">
        <v>967</v>
      </c>
      <c r="D252" s="1" t="s">
        <v>996</v>
      </c>
      <c r="E252" s="53" t="str">
        <f t="shared" si="26"/>
        <v>Unbilled</v>
      </c>
      <c r="F252" s="1">
        <v>2624</v>
      </c>
      <c r="G252" s="37" t="str">
        <f>VLOOKUP(Table1[[#This Row],[WO'#]],Table2[#All],2,FALSE)</f>
        <v>Keck Website</v>
      </c>
      <c r="H252" s="20" t="s">
        <v>996</v>
      </c>
      <c r="I252" s="2">
        <v>43705</v>
      </c>
      <c r="J252" s="4">
        <f t="shared" si="27"/>
        <v>28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1</v>
      </c>
      <c r="Q252" s="3">
        <f t="shared" si="28"/>
        <v>1</v>
      </c>
      <c r="R252" s="1" t="s">
        <v>17</v>
      </c>
      <c r="S252" s="1" t="s">
        <v>23</v>
      </c>
      <c r="T252" s="3">
        <f t="shared" si="29"/>
        <v>0</v>
      </c>
      <c r="U252" s="44">
        <f>IF(Table1[[#This Row],[Initials]]="RM",$AE$10,IF(Table1[[#This Row],[Initials]]="JPH",$AE$11,IF(Table1[[#This Row],[Initials]]="IE",$AE$13,IF(Table1[[#This Row],[Initials]]="JM",$AE$14,1))))</f>
        <v>0.5</v>
      </c>
      <c r="V252" s="3">
        <f>Table1[[#This Row],[FTE %]]*Table1[[#This Row],[Time Worked]]</f>
        <v>0.5</v>
      </c>
      <c r="W25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2" s="38">
        <f t="shared" si="30"/>
        <v>61.93</v>
      </c>
      <c r="Y252" s="18">
        <f t="shared" si="31"/>
        <v>0</v>
      </c>
    </row>
    <row r="253" spans="1:25" x14ac:dyDescent="0.25">
      <c r="A253" s="10">
        <f t="shared" si="24"/>
        <v>252</v>
      </c>
      <c r="B253" s="6" t="str">
        <f t="shared" si="25"/>
        <v>9920192624RM</v>
      </c>
      <c r="C253" s="1" t="s">
        <v>967</v>
      </c>
      <c r="D253" s="1" t="s">
        <v>996</v>
      </c>
      <c r="E253" s="53" t="str">
        <f t="shared" si="26"/>
        <v>Unbilled</v>
      </c>
      <c r="F253" s="1">
        <v>2624</v>
      </c>
      <c r="G253" s="37" t="str">
        <f>VLOOKUP(Table1[[#This Row],[WO'#]],Table2[#All],2,FALSE)</f>
        <v>Keck Website</v>
      </c>
      <c r="H253" s="20" t="s">
        <v>996</v>
      </c>
      <c r="I253" s="2">
        <v>43717</v>
      </c>
      <c r="J253" s="4">
        <f t="shared" si="27"/>
        <v>9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2.5</v>
      </c>
      <c r="Q253" s="3">
        <f t="shared" si="28"/>
        <v>2.5</v>
      </c>
      <c r="R253" s="1" t="s">
        <v>17</v>
      </c>
      <c r="S253" s="1" t="s">
        <v>23</v>
      </c>
      <c r="T253" s="3">
        <f t="shared" si="29"/>
        <v>0</v>
      </c>
      <c r="U253" s="44">
        <f>IF(Table1[[#This Row],[Initials]]="RM",$AE$10,IF(Table1[[#This Row],[Initials]]="JPH",$AE$11,IF(Table1[[#This Row],[Initials]]="IE",$AE$13,IF(Table1[[#This Row],[Initials]]="JM",$AE$14,1))))</f>
        <v>0.5</v>
      </c>
      <c r="V253" s="3">
        <f>Table1[[#This Row],[FTE %]]*Table1[[#This Row],[Time Worked]]</f>
        <v>1.25</v>
      </c>
      <c r="W25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53" s="38">
        <f t="shared" si="30"/>
        <v>154.82499999999999</v>
      </c>
      <c r="Y253" s="18">
        <f t="shared" si="31"/>
        <v>0</v>
      </c>
    </row>
    <row r="254" spans="1:25" x14ac:dyDescent="0.25">
      <c r="A254" s="10">
        <f t="shared" si="24"/>
        <v>253</v>
      </c>
      <c r="B254" s="6" t="str">
        <f t="shared" si="25"/>
        <v>91020192624RM</v>
      </c>
      <c r="C254" s="1" t="s">
        <v>967</v>
      </c>
      <c r="D254" s="1" t="s">
        <v>996</v>
      </c>
      <c r="E254" s="53" t="str">
        <f t="shared" si="26"/>
        <v>Unbilled</v>
      </c>
      <c r="F254" s="1">
        <v>2624</v>
      </c>
      <c r="G254" s="37" t="str">
        <f>VLOOKUP(Table1[[#This Row],[WO'#]],Table2[#All],2,FALSE)</f>
        <v>Keck Website</v>
      </c>
      <c r="H254" s="20" t="s">
        <v>996</v>
      </c>
      <c r="I254" s="2">
        <v>43718</v>
      </c>
      <c r="J254" s="4">
        <f t="shared" si="27"/>
        <v>10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5</v>
      </c>
      <c r="Q254" s="3">
        <f t="shared" si="28"/>
        <v>5</v>
      </c>
      <c r="R254" s="1" t="s">
        <v>17</v>
      </c>
      <c r="S254" s="1" t="s">
        <v>23</v>
      </c>
      <c r="T254" s="3">
        <f t="shared" si="29"/>
        <v>0</v>
      </c>
      <c r="U254" s="44">
        <f>IF(Table1[[#This Row],[Initials]]="RM",$AE$10,IF(Table1[[#This Row],[Initials]]="JPH",$AE$11,IF(Table1[[#This Row],[Initials]]="IE",$AE$13,IF(Table1[[#This Row],[Initials]]="JM",$AE$14,1))))</f>
        <v>0.5</v>
      </c>
      <c r="V254" s="3">
        <f>Table1[[#This Row],[FTE %]]*Table1[[#This Row],[Time Worked]]</f>
        <v>2.5</v>
      </c>
      <c r="W25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254" s="38">
        <f t="shared" si="30"/>
        <v>309.64999999999998</v>
      </c>
      <c r="Y254" s="18">
        <f t="shared" si="31"/>
        <v>0</v>
      </c>
    </row>
    <row r="255" spans="1:25" x14ac:dyDescent="0.25">
      <c r="A255" s="10">
        <f t="shared" si="24"/>
        <v>254</v>
      </c>
      <c r="B255" s="6" t="str">
        <f t="shared" si="25"/>
        <v>9320192627JPH</v>
      </c>
      <c r="C255" s="1" t="s">
        <v>967</v>
      </c>
      <c r="D255" s="1" t="s">
        <v>996</v>
      </c>
      <c r="E255" s="53" t="str">
        <f t="shared" si="26"/>
        <v>Unbilled</v>
      </c>
      <c r="F255" s="1">
        <v>2627</v>
      </c>
      <c r="G255" s="37" t="str">
        <f>VLOOKUP(Table1[[#This Row],[WO'#]],Table2[#All],2,FALSE)</f>
        <v>2020 Nevada Geology Calendar</v>
      </c>
      <c r="H255" s="20" t="s">
        <v>996</v>
      </c>
      <c r="I255" s="2">
        <v>43711</v>
      </c>
      <c r="J255" s="4">
        <f t="shared" si="27"/>
        <v>3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3.5</v>
      </c>
      <c r="Q255" s="3">
        <f t="shared" si="28"/>
        <v>3.5</v>
      </c>
      <c r="R255" s="1" t="s">
        <v>970</v>
      </c>
      <c r="S255" s="1" t="s">
        <v>23</v>
      </c>
      <c r="T255" s="3">
        <f t="shared" si="29"/>
        <v>0</v>
      </c>
      <c r="U255" s="44">
        <f>IF(Table1[[#This Row],[Initials]]="RM",$AE$10,IF(Table1[[#This Row],[Initials]]="JPH",$AE$11,IF(Table1[[#This Row],[Initials]]="IE",$AE$13,IF(Table1[[#This Row],[Initials]]="JM",$AE$14,1))))</f>
        <v>0.53</v>
      </c>
      <c r="V255" s="3">
        <f>Table1[[#This Row],[FTE %]]*Table1[[#This Row],[Time Worked]]</f>
        <v>1.855</v>
      </c>
      <c r="W25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255" s="38">
        <f t="shared" si="30"/>
        <v>216.755</v>
      </c>
      <c r="Y255" s="18">
        <f t="shared" si="31"/>
        <v>0</v>
      </c>
    </row>
    <row r="256" spans="1:25" x14ac:dyDescent="0.25">
      <c r="A256" s="10">
        <f t="shared" si="24"/>
        <v>255</v>
      </c>
      <c r="B256" s="6" t="str">
        <f t="shared" si="25"/>
        <v>9520192627JPH</v>
      </c>
      <c r="C256" s="1" t="s">
        <v>967</v>
      </c>
      <c r="D256" s="1" t="s">
        <v>996</v>
      </c>
      <c r="E256" s="53" t="str">
        <f t="shared" si="26"/>
        <v>Unbilled</v>
      </c>
      <c r="F256" s="1">
        <v>2627</v>
      </c>
      <c r="G256" s="37" t="str">
        <f>VLOOKUP(Table1[[#This Row],[WO'#]],Table2[#All],2,FALSE)</f>
        <v>2020 Nevada Geology Calendar</v>
      </c>
      <c r="H256" s="20" t="s">
        <v>996</v>
      </c>
      <c r="I256" s="2">
        <v>43713</v>
      </c>
      <c r="J256" s="4">
        <f t="shared" si="27"/>
        <v>5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1.25</v>
      </c>
      <c r="Q256" s="3">
        <f t="shared" si="28"/>
        <v>1.25</v>
      </c>
      <c r="R256" s="1" t="s">
        <v>970</v>
      </c>
      <c r="S256" s="1" t="s">
        <v>23</v>
      </c>
      <c r="T256" s="3">
        <f t="shared" si="29"/>
        <v>0</v>
      </c>
      <c r="U256" s="44">
        <f>IF(Table1[[#This Row],[Initials]]="RM",$AE$10,IF(Table1[[#This Row],[Initials]]="JPH",$AE$11,IF(Table1[[#This Row],[Initials]]="IE",$AE$13,IF(Table1[[#This Row],[Initials]]="JM",$AE$14,1))))</f>
        <v>0.53</v>
      </c>
      <c r="V256" s="3">
        <f>Table1[[#This Row],[FTE %]]*Table1[[#This Row],[Time Worked]]</f>
        <v>0.66250000000000009</v>
      </c>
      <c r="W25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256" s="38">
        <f t="shared" si="30"/>
        <v>77.412499999999994</v>
      </c>
      <c r="Y256" s="18">
        <f t="shared" si="31"/>
        <v>0</v>
      </c>
    </row>
    <row r="257" spans="1:25" x14ac:dyDescent="0.25">
      <c r="A257" s="10">
        <f t="shared" si="24"/>
        <v>256</v>
      </c>
      <c r="B257" s="6" t="str">
        <f t="shared" si="25"/>
        <v>9920192627JPH</v>
      </c>
      <c r="C257" s="1" t="s">
        <v>967</v>
      </c>
      <c r="D257" s="1" t="s">
        <v>996</v>
      </c>
      <c r="E257" s="53" t="str">
        <f t="shared" si="26"/>
        <v>Unbilled</v>
      </c>
      <c r="F257" s="1">
        <v>2627</v>
      </c>
      <c r="G257" s="37" t="str">
        <f>VLOOKUP(Table1[[#This Row],[WO'#]],Table2[#All],2,FALSE)</f>
        <v>2020 Nevada Geology Calendar</v>
      </c>
      <c r="H257" s="20" t="s">
        <v>996</v>
      </c>
      <c r="I257" s="2">
        <v>43717</v>
      </c>
      <c r="J257" s="4">
        <f t="shared" si="27"/>
        <v>9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4.25</v>
      </c>
      <c r="Q257" s="3">
        <f t="shared" si="28"/>
        <v>4.25</v>
      </c>
      <c r="R257" s="1" t="s">
        <v>970</v>
      </c>
      <c r="S257" s="1" t="s">
        <v>23</v>
      </c>
      <c r="T257" s="3">
        <f t="shared" si="29"/>
        <v>0</v>
      </c>
      <c r="U257" s="44">
        <f>IF(Table1[[#This Row],[Initials]]="RM",$AE$10,IF(Table1[[#This Row],[Initials]]="JPH",$AE$11,IF(Table1[[#This Row],[Initials]]="IE",$AE$13,IF(Table1[[#This Row],[Initials]]="JM",$AE$14,1))))</f>
        <v>0.53</v>
      </c>
      <c r="V257" s="3">
        <f>Table1[[#This Row],[FTE %]]*Table1[[#This Row],[Time Worked]]</f>
        <v>2.2524999999999999</v>
      </c>
      <c r="W25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257" s="38">
        <f t="shared" si="30"/>
        <v>263.20249999999999</v>
      </c>
      <c r="Y257" s="18">
        <f t="shared" si="31"/>
        <v>0</v>
      </c>
    </row>
    <row r="258" spans="1:25" x14ac:dyDescent="0.25">
      <c r="A258" s="10">
        <f t="shared" ref="A258:A321" si="32">IF(IFERROR(A257+1,1)=1,1,A257+1)</f>
        <v>257</v>
      </c>
      <c r="B258" s="6" t="str">
        <f t="shared" ref="B258:B321" si="33">IF(I258="","",CONCATENATE(MONTH(I258),DAY(I258),YEAR(I258),F258,R258))</f>
        <v>72320192635JM</v>
      </c>
      <c r="C258" s="1" t="s">
        <v>967</v>
      </c>
      <c r="D258" s="1" t="s">
        <v>996</v>
      </c>
      <c r="E258" s="53" t="str">
        <f t="shared" ref="E258:E321" si="34">IF(ISNUMBER(FIND("GR",D258)),"External",IF(C258="NB","Unbilled",IF(AND(C258="Admin",F258=2642),"Annual",IF(AND(C258="Admin",F258=2643),"Comp",IF(AND(C258="Admin",F258=2640),"FMLA",IF(AND(C258="Admin",F258=2644),"Holiday",IF(AND(C258="Admin",F258=2646),"Sick",IF(AND(C258="Admin",F258=2645),"LWOP",IF(C258="Match","Match",IF(C258="WO","Write Off","Internal"))))))))))</f>
        <v>Unbilled</v>
      </c>
      <c r="F258" s="1">
        <v>2635</v>
      </c>
      <c r="G258" s="37" t="str">
        <f>VLOOKUP(Table1[[#This Row],[WO'#]],Table2[#All],2,FALSE)</f>
        <v>2020 AASG Meeting</v>
      </c>
      <c r="H258" s="20" t="s">
        <v>996</v>
      </c>
      <c r="I258" s="2">
        <v>43669</v>
      </c>
      <c r="J258" s="4">
        <f t="shared" ref="J258:J321" si="35">IF(I258="","",DAY(I258))</f>
        <v>23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1</v>
      </c>
      <c r="Q258" s="3">
        <f t="shared" ref="Q258:Q321" si="36">SUM(K258:P258)</f>
        <v>1</v>
      </c>
      <c r="R258" s="1" t="s">
        <v>972</v>
      </c>
      <c r="S258" s="1" t="s">
        <v>23</v>
      </c>
      <c r="T258" s="3">
        <f t="shared" ref="T258:T321" si="37">IF(R258="","",IF(OR(C258="WO",C258="Match",C258="NB",C258="Admin"),0,SUM(K258:P258)))</f>
        <v>0</v>
      </c>
      <c r="U258" s="44">
        <f>IF(Table1[[#This Row],[Initials]]="RM",$AE$10,IF(Table1[[#This Row],[Initials]]="JPH",$AE$11,IF(Table1[[#This Row],[Initials]]="IE",$AE$13,IF(Table1[[#This Row],[Initials]]="JM",$AE$14,1))))</f>
        <v>0.39500000000000002</v>
      </c>
      <c r="V258" s="3">
        <f>Table1[[#This Row],[FTE %]]*Table1[[#This Row],[Time Worked]]</f>
        <v>0.39500000000000002</v>
      </c>
      <c r="W25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8" s="38">
        <f t="shared" ref="X258:X321" si="38">IF(R258="","",IF(OR(C258="Match",C258="Write Off",C258&lt;&gt;"NB",C258="Admin"),0,IF(OR(R258="BOGD",R258="BOGC",R258="BLGDB",R258="BLGCR"),IF(AND(I258&gt;=$AE$3,I258&lt;=$AF$3),P258*$AD$3,IF(AND(I258&gt;=$AE$4,I258&lt;=$AF$4),P258*$AD$4,IF(AND(I258&gt;=$AE$5,I258&lt;=$AF$5),P258*$AD$5,IF(AND(I258&gt;=$AE$6,I258&lt;=$AF$6),P258*$AD$6,P258*$AD$7)))),IF(AND(I258&gt;=$AE$3,I258&lt;=$AF$3),Q258*$AD$3,IF(AND(I258&gt;=$AE$4,I258&lt;=$AF$4),Q258*$AD$4,IF(AND(I258&gt;=$AE$5,I258&lt;=$AF$5),Q258*$AD$5,IF(AND(I258&gt;=$AE$6,I258&lt;=$AF$6),Q258*$AD$6,Q258*$AD$7)))))))</f>
        <v>61.93</v>
      </c>
      <c r="Y258" s="18">
        <f t="shared" ref="Y258:Y321" si="39">IF(R258="","",IF(OR(C258="Match",C258="WO",C258="NB",C258="Admin"),0,IF(OR(R258="BOGD",R258="BOGC",R258="BLGDB",R258="BLGCR"),IF(AND(I258&gt;=$AE$3,I258&lt;=$AF$3),P258*$AD$3,IF(AND(I258&gt;=$AE$4,I258&lt;=$AF$4),P258*$AD$4,IF(AND(I258&gt;=$AE$5,I258&lt;=$AF$5),P258*$AD$5,IF(AND(I258&gt;=$AE$6,I258&lt;=$AF$6),P258*$AD$6,P258*$AD$7)))),IF(AND(I258&gt;=$AE$3,I258&lt;=$AF$3),Q258*$AD$3,IF(AND(I258&gt;=$AE$4,I258&lt;=$AF$4),Q258*$AD$4,IF(AND(I258&gt;=$AE$5,I258&lt;=$AF$5),Q258*$AD$5,IF(AND(I258&gt;=$AE$6,I258&lt;=$AF$6),Q258*$AD$6,Q258*$AD$7)))))))</f>
        <v>0</v>
      </c>
    </row>
    <row r="259" spans="1:25" x14ac:dyDescent="0.25">
      <c r="A259" s="10">
        <f t="shared" si="32"/>
        <v>258</v>
      </c>
      <c r="B259" s="6" t="str">
        <f t="shared" si="33"/>
        <v>72520192635JM</v>
      </c>
      <c r="C259" s="1" t="s">
        <v>967</v>
      </c>
      <c r="D259" s="1" t="s">
        <v>996</v>
      </c>
      <c r="E259" s="53" t="str">
        <f t="shared" si="34"/>
        <v>Unbilled</v>
      </c>
      <c r="F259" s="1">
        <v>2635</v>
      </c>
      <c r="G259" s="37" t="str">
        <f>VLOOKUP(Table1[[#This Row],[WO'#]],Table2[#All],2,FALSE)</f>
        <v>2020 AASG Meeting</v>
      </c>
      <c r="H259" s="20" t="s">
        <v>996</v>
      </c>
      <c r="I259" s="2">
        <v>43671</v>
      </c>
      <c r="J259" s="4">
        <f t="shared" si="35"/>
        <v>25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1</v>
      </c>
      <c r="Q259" s="3">
        <f t="shared" si="36"/>
        <v>1</v>
      </c>
      <c r="R259" s="1" t="s">
        <v>972</v>
      </c>
      <c r="S259" s="1" t="s">
        <v>23</v>
      </c>
      <c r="T259" s="3">
        <f t="shared" si="37"/>
        <v>0</v>
      </c>
      <c r="U259" s="44">
        <f>IF(Table1[[#This Row],[Initials]]="RM",$AE$10,IF(Table1[[#This Row],[Initials]]="JPH",$AE$11,IF(Table1[[#This Row],[Initials]]="IE",$AE$13,IF(Table1[[#This Row],[Initials]]="JM",$AE$14,1))))</f>
        <v>0.39500000000000002</v>
      </c>
      <c r="V259" s="3">
        <f>Table1[[#This Row],[FTE %]]*Table1[[#This Row],[Time Worked]]</f>
        <v>0.39500000000000002</v>
      </c>
      <c r="W25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59" s="38">
        <f t="shared" si="38"/>
        <v>61.93</v>
      </c>
      <c r="Y259" s="18">
        <f t="shared" si="39"/>
        <v>0</v>
      </c>
    </row>
    <row r="260" spans="1:25" x14ac:dyDescent="0.25">
      <c r="A260" s="10">
        <f t="shared" si="32"/>
        <v>259</v>
      </c>
      <c r="B260" s="6" t="str">
        <f t="shared" si="33"/>
        <v>8220192635JM</v>
      </c>
      <c r="C260" s="1" t="s">
        <v>967</v>
      </c>
      <c r="D260" s="1" t="s">
        <v>996</v>
      </c>
      <c r="E260" s="53" t="str">
        <f t="shared" si="34"/>
        <v>Unbilled</v>
      </c>
      <c r="F260" s="1">
        <v>2635</v>
      </c>
      <c r="G260" s="37" t="str">
        <f>VLOOKUP(Table1[[#This Row],[WO'#]],Table2[#All],2,FALSE)</f>
        <v>2020 AASG Meeting</v>
      </c>
      <c r="H260" s="20" t="s">
        <v>996</v>
      </c>
      <c r="I260" s="2">
        <v>43679</v>
      </c>
      <c r="J260" s="4">
        <f t="shared" si="35"/>
        <v>2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0.25</v>
      </c>
      <c r="Q260" s="3">
        <f t="shared" si="36"/>
        <v>0.25</v>
      </c>
      <c r="R260" s="1" t="s">
        <v>972</v>
      </c>
      <c r="S260" s="1" t="s">
        <v>23</v>
      </c>
      <c r="T260" s="3">
        <f t="shared" si="37"/>
        <v>0</v>
      </c>
      <c r="U260" s="44">
        <f>IF(Table1[[#This Row],[Initials]]="RM",$AE$10,IF(Table1[[#This Row],[Initials]]="JPH",$AE$11,IF(Table1[[#This Row],[Initials]]="IE",$AE$13,IF(Table1[[#This Row],[Initials]]="JM",$AE$14,1))))</f>
        <v>0.39500000000000002</v>
      </c>
      <c r="V260" s="3">
        <f>Table1[[#This Row],[FTE %]]*Table1[[#This Row],[Time Worked]]</f>
        <v>9.8750000000000004E-2</v>
      </c>
      <c r="W26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60" s="38">
        <f t="shared" si="38"/>
        <v>15.4825</v>
      </c>
      <c r="Y260" s="18">
        <f t="shared" si="39"/>
        <v>0</v>
      </c>
    </row>
    <row r="261" spans="1:25" x14ac:dyDescent="0.25">
      <c r="A261" s="10">
        <f t="shared" si="32"/>
        <v>260</v>
      </c>
      <c r="B261" s="6" t="str">
        <f t="shared" si="33"/>
        <v>8620192635JM</v>
      </c>
      <c r="C261" s="1" t="s">
        <v>967</v>
      </c>
      <c r="D261" s="1" t="s">
        <v>996</v>
      </c>
      <c r="E261" s="53" t="str">
        <f t="shared" si="34"/>
        <v>Unbilled</v>
      </c>
      <c r="F261" s="1">
        <v>2635</v>
      </c>
      <c r="G261" s="37" t="str">
        <f>VLOOKUP(Table1[[#This Row],[WO'#]],Table2[#All],2,FALSE)</f>
        <v>2020 AASG Meeting</v>
      </c>
      <c r="H261" s="20" t="s">
        <v>996</v>
      </c>
      <c r="I261" s="2">
        <v>43683</v>
      </c>
      <c r="J261" s="4">
        <f t="shared" si="35"/>
        <v>6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0.75</v>
      </c>
      <c r="Q261" s="3">
        <f t="shared" si="36"/>
        <v>0.75</v>
      </c>
      <c r="R261" s="1" t="s">
        <v>972</v>
      </c>
      <c r="S261" s="1" t="s">
        <v>23</v>
      </c>
      <c r="T261" s="3">
        <f t="shared" si="37"/>
        <v>0</v>
      </c>
      <c r="U261" s="44">
        <f>IF(Table1[[#This Row],[Initials]]="RM",$AE$10,IF(Table1[[#This Row],[Initials]]="JPH",$AE$11,IF(Table1[[#This Row],[Initials]]="IE",$AE$13,IF(Table1[[#This Row],[Initials]]="JM",$AE$14,1))))</f>
        <v>0.39500000000000002</v>
      </c>
      <c r="V261" s="3">
        <f>Table1[[#This Row],[FTE %]]*Table1[[#This Row],[Time Worked]]</f>
        <v>0.29625000000000001</v>
      </c>
      <c r="W26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261" s="38">
        <f t="shared" si="38"/>
        <v>46.447499999999998</v>
      </c>
      <c r="Y261" s="18">
        <f t="shared" si="39"/>
        <v>0</v>
      </c>
    </row>
    <row r="262" spans="1:25" x14ac:dyDescent="0.25">
      <c r="A262" s="10">
        <f t="shared" si="32"/>
        <v>261</v>
      </c>
      <c r="B262" s="6" t="str">
        <f t="shared" si="33"/>
        <v>9420192635JPH</v>
      </c>
      <c r="C262" s="1" t="s">
        <v>967</v>
      </c>
      <c r="D262" s="1" t="s">
        <v>996</v>
      </c>
      <c r="E262" s="53" t="str">
        <f t="shared" si="34"/>
        <v>Unbilled</v>
      </c>
      <c r="F262" s="1">
        <v>2635</v>
      </c>
      <c r="G262" s="37" t="str">
        <f>VLOOKUP(Table1[[#This Row],[WO'#]],Table2[#All],2,FALSE)</f>
        <v>2020 AASG Meeting</v>
      </c>
      <c r="H262" s="20" t="s">
        <v>996</v>
      </c>
      <c r="I262" s="2">
        <v>43712</v>
      </c>
      <c r="J262" s="4">
        <f t="shared" si="35"/>
        <v>4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3">
        <v>1</v>
      </c>
      <c r="Q262" s="3">
        <f t="shared" si="36"/>
        <v>1</v>
      </c>
      <c r="R262" s="1" t="s">
        <v>970</v>
      </c>
      <c r="S262" s="1" t="s">
        <v>23</v>
      </c>
      <c r="T262" s="3">
        <f t="shared" si="37"/>
        <v>0</v>
      </c>
      <c r="U262" s="44">
        <f>IF(Table1[[#This Row],[Initials]]="RM",$AE$10,IF(Table1[[#This Row],[Initials]]="JPH",$AE$11,IF(Table1[[#This Row],[Initials]]="IE",$AE$13,IF(Table1[[#This Row],[Initials]]="JM",$AE$14,1))))</f>
        <v>0.53</v>
      </c>
      <c r="V262" s="3">
        <f>Table1[[#This Row],[FTE %]]*Table1[[#This Row],[Time Worked]]</f>
        <v>0.53</v>
      </c>
      <c r="W26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62" s="38">
        <f t="shared" si="38"/>
        <v>61.93</v>
      </c>
      <c r="Y262" s="18">
        <f t="shared" si="39"/>
        <v>0</v>
      </c>
    </row>
    <row r="263" spans="1:25" x14ac:dyDescent="0.25">
      <c r="A263" s="10">
        <f t="shared" si="32"/>
        <v>262</v>
      </c>
      <c r="B263" s="6" t="str">
        <f t="shared" si="33"/>
        <v>9420192635RM</v>
      </c>
      <c r="C263" s="1" t="s">
        <v>967</v>
      </c>
      <c r="D263" s="1" t="s">
        <v>996</v>
      </c>
      <c r="E263" s="53" t="str">
        <f t="shared" si="34"/>
        <v>Unbilled</v>
      </c>
      <c r="F263" s="1">
        <v>2635</v>
      </c>
      <c r="G263" s="37" t="str">
        <f>VLOOKUP(Table1[[#This Row],[WO'#]],Table2[#All],2,FALSE)</f>
        <v>2020 AASG Meeting</v>
      </c>
      <c r="H263" s="20" t="s">
        <v>996</v>
      </c>
      <c r="I263" s="2">
        <v>43712</v>
      </c>
      <c r="J263" s="4">
        <f t="shared" si="35"/>
        <v>4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2</v>
      </c>
      <c r="Q263" s="3">
        <f t="shared" si="36"/>
        <v>2</v>
      </c>
      <c r="R263" s="1" t="s">
        <v>17</v>
      </c>
      <c r="S263" s="1" t="s">
        <v>23</v>
      </c>
      <c r="T263" s="3">
        <f t="shared" si="37"/>
        <v>0</v>
      </c>
      <c r="U263" s="44">
        <f>IF(Table1[[#This Row],[Initials]]="RM",$AE$10,IF(Table1[[#This Row],[Initials]]="JPH",$AE$11,IF(Table1[[#This Row],[Initials]]="IE",$AE$13,IF(Table1[[#This Row],[Initials]]="JM",$AE$14,1))))</f>
        <v>0.5</v>
      </c>
      <c r="V263" s="3">
        <f>Table1[[#This Row],[FTE %]]*Table1[[#This Row],[Time Worked]]</f>
        <v>1</v>
      </c>
      <c r="W26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263" s="38">
        <f t="shared" si="38"/>
        <v>123.86</v>
      </c>
      <c r="Y263" s="18">
        <f t="shared" si="39"/>
        <v>0</v>
      </c>
    </row>
    <row r="264" spans="1:25" x14ac:dyDescent="0.25">
      <c r="A264" s="10">
        <f t="shared" si="32"/>
        <v>263</v>
      </c>
      <c r="B264" s="6" t="str">
        <f t="shared" si="33"/>
        <v>9920192636RM</v>
      </c>
      <c r="C264" s="1" t="s">
        <v>967</v>
      </c>
      <c r="D264" s="1" t="s">
        <v>996</v>
      </c>
      <c r="E264" s="53" t="str">
        <f t="shared" si="34"/>
        <v>Unbilled</v>
      </c>
      <c r="F264" s="1">
        <v>2636</v>
      </c>
      <c r="G264" s="37" t="str">
        <f>VLOOKUP(Table1[[#This Row],[WO'#]],Table2[#All],2,FALSE)</f>
        <v>2019 Preservation Grant</v>
      </c>
      <c r="H264" s="20" t="s">
        <v>996</v>
      </c>
      <c r="I264" s="2">
        <v>43717</v>
      </c>
      <c r="J264" s="4">
        <f t="shared" si="35"/>
        <v>9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6.5</v>
      </c>
      <c r="Q264" s="3">
        <f t="shared" si="36"/>
        <v>6.5</v>
      </c>
      <c r="R264" s="1" t="s">
        <v>17</v>
      </c>
      <c r="S264" s="1" t="s">
        <v>23</v>
      </c>
      <c r="T264" s="3">
        <f t="shared" si="37"/>
        <v>0</v>
      </c>
      <c r="U264" s="44">
        <f>IF(Table1[[#This Row],[Initials]]="RM",$AE$10,IF(Table1[[#This Row],[Initials]]="JPH",$AE$11,IF(Table1[[#This Row],[Initials]]="IE",$AE$13,IF(Table1[[#This Row],[Initials]]="JM",$AE$14,1))))</f>
        <v>0.5</v>
      </c>
      <c r="V264" s="3">
        <f>Table1[[#This Row],[FTE %]]*Table1[[#This Row],[Time Worked]]</f>
        <v>3.25</v>
      </c>
      <c r="W26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402.54500000000002</v>
      </c>
      <c r="X264" s="38">
        <f t="shared" si="38"/>
        <v>402.54500000000002</v>
      </c>
      <c r="Y264" s="18">
        <f t="shared" si="39"/>
        <v>0</v>
      </c>
    </row>
    <row r="265" spans="1:25" x14ac:dyDescent="0.25">
      <c r="A265" s="10">
        <f t="shared" si="32"/>
        <v>264</v>
      </c>
      <c r="B265" s="6" t="str">
        <f t="shared" si="33"/>
        <v>91120192636RM</v>
      </c>
      <c r="C265" s="1" t="s">
        <v>967</v>
      </c>
      <c r="D265" s="1" t="s">
        <v>996</v>
      </c>
      <c r="E265" s="53" t="str">
        <f t="shared" si="34"/>
        <v>Unbilled</v>
      </c>
      <c r="F265" s="1">
        <v>2636</v>
      </c>
      <c r="G265" s="37" t="str">
        <f>VLOOKUP(Table1[[#This Row],[WO'#]],Table2[#All],2,FALSE)</f>
        <v>2019 Preservation Grant</v>
      </c>
      <c r="H265" s="20" t="s">
        <v>996</v>
      </c>
      <c r="I265" s="2">
        <v>43719</v>
      </c>
      <c r="J265" s="4">
        <f t="shared" si="35"/>
        <v>11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1</v>
      </c>
      <c r="Q265" s="3">
        <f t="shared" si="36"/>
        <v>1</v>
      </c>
      <c r="R265" s="1" t="s">
        <v>17</v>
      </c>
      <c r="S265" s="1" t="s">
        <v>23</v>
      </c>
      <c r="T265" s="3">
        <f t="shared" si="37"/>
        <v>0</v>
      </c>
      <c r="U265" s="44">
        <f>IF(Table1[[#This Row],[Initials]]="RM",$AE$10,IF(Table1[[#This Row],[Initials]]="JPH",$AE$11,IF(Table1[[#This Row],[Initials]]="IE",$AE$13,IF(Table1[[#This Row],[Initials]]="JM",$AE$14,1))))</f>
        <v>0.5</v>
      </c>
      <c r="V265" s="3">
        <f>Table1[[#This Row],[FTE %]]*Table1[[#This Row],[Time Worked]]</f>
        <v>0.5</v>
      </c>
      <c r="W26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65" s="38">
        <f t="shared" si="38"/>
        <v>61.93</v>
      </c>
      <c r="Y265" s="18">
        <f t="shared" si="39"/>
        <v>0</v>
      </c>
    </row>
    <row r="266" spans="1:25" x14ac:dyDescent="0.25">
      <c r="A266" s="10">
        <f t="shared" si="32"/>
        <v>265</v>
      </c>
      <c r="B266" s="6" t="str">
        <f t="shared" si="33"/>
        <v>71820192637JM</v>
      </c>
      <c r="C266" s="1" t="s">
        <v>967</v>
      </c>
      <c r="D266" s="1" t="s">
        <v>996</v>
      </c>
      <c r="E266" s="53" t="str">
        <f t="shared" si="34"/>
        <v>Unbilled</v>
      </c>
      <c r="F266" s="1">
        <v>2637</v>
      </c>
      <c r="G266" s="37" t="str">
        <f>VLOOKUP(Table1[[#This Row],[WO'#]],Table2[#All],2,FALSE)</f>
        <v>NV MRDP</v>
      </c>
      <c r="H266" s="20" t="s">
        <v>996</v>
      </c>
      <c r="I266" s="2">
        <v>43664</v>
      </c>
      <c r="J266" s="4">
        <f t="shared" si="35"/>
        <v>18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0.5</v>
      </c>
      <c r="Q266" s="3">
        <f t="shared" si="36"/>
        <v>0.5</v>
      </c>
      <c r="R266" s="1" t="s">
        <v>972</v>
      </c>
      <c r="S266" s="1" t="s">
        <v>23</v>
      </c>
      <c r="T266" s="3">
        <f t="shared" si="37"/>
        <v>0</v>
      </c>
      <c r="U266" s="44">
        <f>IF(Table1[[#This Row],[Initials]]="RM",$AE$10,IF(Table1[[#This Row],[Initials]]="JPH",$AE$11,IF(Table1[[#This Row],[Initials]]="IE",$AE$13,IF(Table1[[#This Row],[Initials]]="JM",$AE$14,1))))</f>
        <v>0.39500000000000002</v>
      </c>
      <c r="V266" s="3">
        <f>Table1[[#This Row],[FTE %]]*Table1[[#This Row],[Time Worked]]</f>
        <v>0.19750000000000001</v>
      </c>
      <c r="W26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66" s="38">
        <f t="shared" si="38"/>
        <v>30.965</v>
      </c>
      <c r="Y266" s="18">
        <f t="shared" si="39"/>
        <v>0</v>
      </c>
    </row>
    <row r="267" spans="1:25" x14ac:dyDescent="0.25">
      <c r="A267" s="10">
        <f t="shared" si="32"/>
        <v>266</v>
      </c>
      <c r="B267" s="6" t="str">
        <f t="shared" si="33"/>
        <v>71820192637RM</v>
      </c>
      <c r="C267" s="1" t="s">
        <v>967</v>
      </c>
      <c r="D267" s="1" t="s">
        <v>996</v>
      </c>
      <c r="E267" s="53" t="str">
        <f t="shared" si="34"/>
        <v>Unbilled</v>
      </c>
      <c r="F267" s="1">
        <v>2637</v>
      </c>
      <c r="G267" s="37" t="str">
        <f>VLOOKUP(Table1[[#This Row],[WO'#]],Table2[#All],2,FALSE)</f>
        <v>NV MRDP</v>
      </c>
      <c r="H267" s="20" t="s">
        <v>996</v>
      </c>
      <c r="I267" s="2">
        <v>43664</v>
      </c>
      <c r="J267" s="4">
        <f t="shared" si="35"/>
        <v>18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1.5</v>
      </c>
      <c r="Q267" s="3">
        <f t="shared" si="36"/>
        <v>1.5</v>
      </c>
      <c r="R267" s="1" t="s">
        <v>17</v>
      </c>
      <c r="S267" s="1" t="s">
        <v>23</v>
      </c>
      <c r="T267" s="3">
        <f t="shared" si="37"/>
        <v>0</v>
      </c>
      <c r="U267" s="44">
        <f>IF(Table1[[#This Row],[Initials]]="RM",$AE$10,IF(Table1[[#This Row],[Initials]]="JPH",$AE$11,IF(Table1[[#This Row],[Initials]]="IE",$AE$13,IF(Table1[[#This Row],[Initials]]="JM",$AE$14,1))))</f>
        <v>0.5</v>
      </c>
      <c r="V267" s="3">
        <f>Table1[[#This Row],[FTE %]]*Table1[[#This Row],[Time Worked]]</f>
        <v>0.75</v>
      </c>
      <c r="W26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67" s="38">
        <f t="shared" si="38"/>
        <v>92.894999999999996</v>
      </c>
      <c r="Y267" s="18">
        <f t="shared" si="39"/>
        <v>0</v>
      </c>
    </row>
    <row r="268" spans="1:25" x14ac:dyDescent="0.25">
      <c r="A268" s="10">
        <f t="shared" si="32"/>
        <v>267</v>
      </c>
      <c r="B268" s="6" t="str">
        <f t="shared" si="33"/>
        <v>71920192637JM</v>
      </c>
      <c r="C268" s="1" t="s">
        <v>967</v>
      </c>
      <c r="D268" s="1" t="s">
        <v>996</v>
      </c>
      <c r="E268" s="53" t="str">
        <f t="shared" si="34"/>
        <v>Unbilled</v>
      </c>
      <c r="F268" s="1">
        <v>2637</v>
      </c>
      <c r="G268" s="37" t="str">
        <f>VLOOKUP(Table1[[#This Row],[WO'#]],Table2[#All],2,FALSE)</f>
        <v>NV MRDP</v>
      </c>
      <c r="H268" s="20" t="s">
        <v>996</v>
      </c>
      <c r="I268" s="2">
        <v>43665</v>
      </c>
      <c r="J268" s="4">
        <f t="shared" si="35"/>
        <v>19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4.5</v>
      </c>
      <c r="Q268" s="3">
        <f t="shared" si="36"/>
        <v>4.5</v>
      </c>
      <c r="R268" s="1" t="s">
        <v>972</v>
      </c>
      <c r="S268" s="1" t="s">
        <v>23</v>
      </c>
      <c r="T268" s="3">
        <f t="shared" si="37"/>
        <v>0</v>
      </c>
      <c r="U268" s="44">
        <f>IF(Table1[[#This Row],[Initials]]="RM",$AE$10,IF(Table1[[#This Row],[Initials]]="JPH",$AE$11,IF(Table1[[#This Row],[Initials]]="IE",$AE$13,IF(Table1[[#This Row],[Initials]]="JM",$AE$14,1))))</f>
        <v>0.39500000000000002</v>
      </c>
      <c r="V268" s="3">
        <f>Table1[[#This Row],[FTE %]]*Table1[[#This Row],[Time Worked]]</f>
        <v>1.7775000000000001</v>
      </c>
      <c r="W26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268" s="38">
        <f t="shared" si="38"/>
        <v>278.685</v>
      </c>
      <c r="Y268" s="18">
        <f t="shared" si="39"/>
        <v>0</v>
      </c>
    </row>
    <row r="269" spans="1:25" x14ac:dyDescent="0.25">
      <c r="A269" s="10">
        <f t="shared" si="32"/>
        <v>268</v>
      </c>
      <c r="B269" s="6" t="str">
        <f t="shared" si="33"/>
        <v>72220192637RM</v>
      </c>
      <c r="C269" s="1" t="s">
        <v>967</v>
      </c>
      <c r="D269" s="1" t="s">
        <v>996</v>
      </c>
      <c r="E269" s="53" t="str">
        <f t="shared" si="34"/>
        <v>Unbilled</v>
      </c>
      <c r="F269" s="1">
        <v>2637</v>
      </c>
      <c r="G269" s="37" t="str">
        <f>VLOOKUP(Table1[[#This Row],[WO'#]],Table2[#All],2,FALSE)</f>
        <v>NV MRDP</v>
      </c>
      <c r="H269" s="20" t="s">
        <v>996</v>
      </c>
      <c r="I269" s="2">
        <v>43668</v>
      </c>
      <c r="J269" s="4">
        <f t="shared" si="35"/>
        <v>22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4</v>
      </c>
      <c r="Q269" s="3">
        <f t="shared" si="36"/>
        <v>4</v>
      </c>
      <c r="R269" s="1" t="s">
        <v>17</v>
      </c>
      <c r="S269" s="1" t="s">
        <v>23</v>
      </c>
      <c r="T269" s="3">
        <f t="shared" si="37"/>
        <v>0</v>
      </c>
      <c r="U269" s="44">
        <f>IF(Table1[[#This Row],[Initials]]="RM",$AE$10,IF(Table1[[#This Row],[Initials]]="JPH",$AE$11,IF(Table1[[#This Row],[Initials]]="IE",$AE$13,IF(Table1[[#This Row],[Initials]]="JM",$AE$14,1))))</f>
        <v>0.5</v>
      </c>
      <c r="V269" s="3">
        <f>Table1[[#This Row],[FTE %]]*Table1[[#This Row],[Time Worked]]</f>
        <v>2</v>
      </c>
      <c r="W26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269" s="38">
        <f t="shared" si="38"/>
        <v>247.72</v>
      </c>
      <c r="Y269" s="18">
        <f t="shared" si="39"/>
        <v>0</v>
      </c>
    </row>
    <row r="270" spans="1:25" x14ac:dyDescent="0.25">
      <c r="A270" s="10">
        <f t="shared" si="32"/>
        <v>269</v>
      </c>
      <c r="B270" s="6" t="str">
        <f t="shared" si="33"/>
        <v>72320192637JM</v>
      </c>
      <c r="C270" s="1" t="s">
        <v>967</v>
      </c>
      <c r="D270" s="1" t="s">
        <v>996</v>
      </c>
      <c r="E270" s="53" t="str">
        <f t="shared" si="34"/>
        <v>Unbilled</v>
      </c>
      <c r="F270" s="1">
        <v>2637</v>
      </c>
      <c r="G270" s="37" t="str">
        <f>VLOOKUP(Table1[[#This Row],[WO'#]],Table2[#All],2,FALSE)</f>
        <v>NV MRDP</v>
      </c>
      <c r="H270" s="20" t="s">
        <v>996</v>
      </c>
      <c r="I270" s="2">
        <v>43669</v>
      </c>
      <c r="J270" s="4">
        <f t="shared" si="35"/>
        <v>23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0.25</v>
      </c>
      <c r="Q270" s="3">
        <f t="shared" si="36"/>
        <v>0.25</v>
      </c>
      <c r="R270" s="1" t="s">
        <v>972</v>
      </c>
      <c r="S270" s="1" t="s">
        <v>23</v>
      </c>
      <c r="T270" s="3">
        <f t="shared" si="37"/>
        <v>0</v>
      </c>
      <c r="U270" s="44">
        <f>IF(Table1[[#This Row],[Initials]]="RM",$AE$10,IF(Table1[[#This Row],[Initials]]="JPH",$AE$11,IF(Table1[[#This Row],[Initials]]="IE",$AE$13,IF(Table1[[#This Row],[Initials]]="JM",$AE$14,1))))</f>
        <v>0.39500000000000002</v>
      </c>
      <c r="V270" s="3">
        <f>Table1[[#This Row],[FTE %]]*Table1[[#This Row],[Time Worked]]</f>
        <v>9.8750000000000004E-2</v>
      </c>
      <c r="W27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70" s="38">
        <f t="shared" si="38"/>
        <v>15.4825</v>
      </c>
      <c r="Y270" s="18">
        <f t="shared" si="39"/>
        <v>0</v>
      </c>
    </row>
    <row r="271" spans="1:25" x14ac:dyDescent="0.25">
      <c r="A271" s="10">
        <f t="shared" si="32"/>
        <v>270</v>
      </c>
      <c r="B271" s="6" t="str">
        <f t="shared" si="33"/>
        <v>72320192637RM</v>
      </c>
      <c r="C271" s="1" t="s">
        <v>967</v>
      </c>
      <c r="D271" s="1" t="s">
        <v>996</v>
      </c>
      <c r="E271" s="53" t="str">
        <f t="shared" si="34"/>
        <v>Unbilled</v>
      </c>
      <c r="F271" s="1">
        <v>2637</v>
      </c>
      <c r="G271" s="37" t="str">
        <f>VLOOKUP(Table1[[#This Row],[WO'#]],Table2[#All],2,FALSE)</f>
        <v>NV MRDP</v>
      </c>
      <c r="H271" s="20" t="s">
        <v>996</v>
      </c>
      <c r="I271" s="2">
        <v>43669</v>
      </c>
      <c r="J271" s="4">
        <f t="shared" si="35"/>
        <v>23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6</v>
      </c>
      <c r="Q271" s="3">
        <f t="shared" si="36"/>
        <v>6</v>
      </c>
      <c r="R271" s="1" t="s">
        <v>17</v>
      </c>
      <c r="S271" s="1" t="s">
        <v>23</v>
      </c>
      <c r="T271" s="3">
        <f t="shared" si="37"/>
        <v>0</v>
      </c>
      <c r="U271" s="44">
        <f>IF(Table1[[#This Row],[Initials]]="RM",$AE$10,IF(Table1[[#This Row],[Initials]]="JPH",$AE$11,IF(Table1[[#This Row],[Initials]]="IE",$AE$13,IF(Table1[[#This Row],[Initials]]="JM",$AE$14,1))))</f>
        <v>0.5</v>
      </c>
      <c r="V271" s="3">
        <f>Table1[[#This Row],[FTE %]]*Table1[[#This Row],[Time Worked]]</f>
        <v>3</v>
      </c>
      <c r="W27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271" s="38">
        <f t="shared" si="38"/>
        <v>371.58</v>
      </c>
      <c r="Y271" s="18">
        <f t="shared" si="39"/>
        <v>0</v>
      </c>
    </row>
    <row r="272" spans="1:25" x14ac:dyDescent="0.25">
      <c r="A272" s="10">
        <f t="shared" si="32"/>
        <v>271</v>
      </c>
      <c r="B272" s="6" t="str">
        <f t="shared" si="33"/>
        <v>72420192637JM</v>
      </c>
      <c r="C272" s="1" t="s">
        <v>967</v>
      </c>
      <c r="D272" s="1" t="s">
        <v>996</v>
      </c>
      <c r="E272" s="53" t="str">
        <f t="shared" si="34"/>
        <v>Unbilled</v>
      </c>
      <c r="F272" s="1">
        <v>2637</v>
      </c>
      <c r="G272" s="37" t="str">
        <f>VLOOKUP(Table1[[#This Row],[WO'#]],Table2[#All],2,FALSE)</f>
        <v>NV MRDP</v>
      </c>
      <c r="H272" s="20" t="s">
        <v>996</v>
      </c>
      <c r="I272" s="2">
        <v>43670</v>
      </c>
      <c r="J272" s="4">
        <f t="shared" si="35"/>
        <v>24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3</v>
      </c>
      <c r="Q272" s="3">
        <f t="shared" si="36"/>
        <v>3</v>
      </c>
      <c r="R272" s="1" t="s">
        <v>972</v>
      </c>
      <c r="S272" s="1" t="s">
        <v>23</v>
      </c>
      <c r="T272" s="3">
        <f t="shared" si="37"/>
        <v>0</v>
      </c>
      <c r="U272" s="44">
        <f>IF(Table1[[#This Row],[Initials]]="RM",$AE$10,IF(Table1[[#This Row],[Initials]]="JPH",$AE$11,IF(Table1[[#This Row],[Initials]]="IE",$AE$13,IF(Table1[[#This Row],[Initials]]="JM",$AE$14,1))))</f>
        <v>0.39500000000000002</v>
      </c>
      <c r="V272" s="3">
        <f>Table1[[#This Row],[FTE %]]*Table1[[#This Row],[Time Worked]]</f>
        <v>1.1850000000000001</v>
      </c>
      <c r="W27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272" s="38">
        <f t="shared" si="38"/>
        <v>185.79</v>
      </c>
      <c r="Y272" s="18">
        <f t="shared" si="39"/>
        <v>0</v>
      </c>
    </row>
    <row r="273" spans="1:25" x14ac:dyDescent="0.25">
      <c r="A273" s="10">
        <f t="shared" si="32"/>
        <v>272</v>
      </c>
      <c r="B273" s="6" t="str">
        <f t="shared" si="33"/>
        <v>72420192637RM</v>
      </c>
      <c r="C273" s="1" t="s">
        <v>967</v>
      </c>
      <c r="D273" s="1" t="s">
        <v>996</v>
      </c>
      <c r="E273" s="53" t="str">
        <f t="shared" si="34"/>
        <v>Unbilled</v>
      </c>
      <c r="F273" s="1">
        <v>2637</v>
      </c>
      <c r="G273" s="37" t="str">
        <f>VLOOKUP(Table1[[#This Row],[WO'#]],Table2[#All],2,FALSE)</f>
        <v>NV MRDP</v>
      </c>
      <c r="H273" s="20" t="s">
        <v>996</v>
      </c>
      <c r="I273" s="2">
        <v>43670</v>
      </c>
      <c r="J273" s="4">
        <f t="shared" si="35"/>
        <v>24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5</v>
      </c>
      <c r="Q273" s="3">
        <f t="shared" si="36"/>
        <v>5</v>
      </c>
      <c r="R273" s="1" t="s">
        <v>17</v>
      </c>
      <c r="S273" s="1" t="s">
        <v>23</v>
      </c>
      <c r="T273" s="3">
        <f t="shared" si="37"/>
        <v>0</v>
      </c>
      <c r="U273" s="44">
        <f>IF(Table1[[#This Row],[Initials]]="RM",$AE$10,IF(Table1[[#This Row],[Initials]]="JPH",$AE$11,IF(Table1[[#This Row],[Initials]]="IE",$AE$13,IF(Table1[[#This Row],[Initials]]="JM",$AE$14,1))))</f>
        <v>0.5</v>
      </c>
      <c r="V273" s="3">
        <f>Table1[[#This Row],[FTE %]]*Table1[[#This Row],[Time Worked]]</f>
        <v>2.5</v>
      </c>
      <c r="W27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273" s="38">
        <f t="shared" si="38"/>
        <v>309.64999999999998</v>
      </c>
      <c r="Y273" s="18">
        <f t="shared" si="39"/>
        <v>0</v>
      </c>
    </row>
    <row r="274" spans="1:25" x14ac:dyDescent="0.25">
      <c r="A274" s="10">
        <f t="shared" si="32"/>
        <v>273</v>
      </c>
      <c r="B274" s="6" t="str">
        <f t="shared" si="33"/>
        <v>72520192637JM</v>
      </c>
      <c r="C274" s="1" t="s">
        <v>967</v>
      </c>
      <c r="D274" s="1" t="s">
        <v>996</v>
      </c>
      <c r="E274" s="53" t="str">
        <f t="shared" si="34"/>
        <v>Unbilled</v>
      </c>
      <c r="F274" s="1">
        <v>2637</v>
      </c>
      <c r="G274" s="37" t="str">
        <f>VLOOKUP(Table1[[#This Row],[WO'#]],Table2[#All],2,FALSE)</f>
        <v>NV MRDP</v>
      </c>
      <c r="H274" s="20" t="s">
        <v>996</v>
      </c>
      <c r="I274" s="2">
        <v>43671</v>
      </c>
      <c r="J274" s="4">
        <f t="shared" si="35"/>
        <v>25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1</v>
      </c>
      <c r="Q274" s="3">
        <f t="shared" si="36"/>
        <v>1</v>
      </c>
      <c r="R274" s="1" t="s">
        <v>972</v>
      </c>
      <c r="S274" s="1" t="s">
        <v>23</v>
      </c>
      <c r="T274" s="3">
        <f t="shared" si="37"/>
        <v>0</v>
      </c>
      <c r="U274" s="44">
        <f>IF(Table1[[#This Row],[Initials]]="RM",$AE$10,IF(Table1[[#This Row],[Initials]]="JPH",$AE$11,IF(Table1[[#This Row],[Initials]]="IE",$AE$13,IF(Table1[[#This Row],[Initials]]="JM",$AE$14,1))))</f>
        <v>0.39500000000000002</v>
      </c>
      <c r="V274" s="3">
        <f>Table1[[#This Row],[FTE %]]*Table1[[#This Row],[Time Worked]]</f>
        <v>0.39500000000000002</v>
      </c>
      <c r="W27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74" s="38">
        <f t="shared" si="38"/>
        <v>61.93</v>
      </c>
      <c r="Y274" s="18">
        <f t="shared" si="39"/>
        <v>0</v>
      </c>
    </row>
    <row r="275" spans="1:25" x14ac:dyDescent="0.25">
      <c r="A275" s="10">
        <f t="shared" si="32"/>
        <v>274</v>
      </c>
      <c r="B275" s="6" t="str">
        <f t="shared" si="33"/>
        <v>72520192637RM</v>
      </c>
      <c r="C275" s="1" t="s">
        <v>967</v>
      </c>
      <c r="D275" s="1" t="s">
        <v>996</v>
      </c>
      <c r="E275" s="53" t="str">
        <f t="shared" si="34"/>
        <v>Unbilled</v>
      </c>
      <c r="F275" s="1">
        <v>2637</v>
      </c>
      <c r="G275" s="37" t="str">
        <f>VLOOKUP(Table1[[#This Row],[WO'#]],Table2[#All],2,FALSE)</f>
        <v>NV MRDP</v>
      </c>
      <c r="H275" s="20" t="s">
        <v>996</v>
      </c>
      <c r="I275" s="2">
        <v>43671</v>
      </c>
      <c r="J275" s="4">
        <f t="shared" si="35"/>
        <v>25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5</v>
      </c>
      <c r="Q275" s="3">
        <f t="shared" si="36"/>
        <v>5</v>
      </c>
      <c r="R275" s="1" t="s">
        <v>17</v>
      </c>
      <c r="S275" s="1" t="s">
        <v>23</v>
      </c>
      <c r="T275" s="3">
        <f t="shared" si="37"/>
        <v>0</v>
      </c>
      <c r="U275" s="44">
        <f>IF(Table1[[#This Row],[Initials]]="RM",$AE$10,IF(Table1[[#This Row],[Initials]]="JPH",$AE$11,IF(Table1[[#This Row],[Initials]]="IE",$AE$13,IF(Table1[[#This Row],[Initials]]="JM",$AE$14,1))))</f>
        <v>0.5</v>
      </c>
      <c r="V275" s="3">
        <f>Table1[[#This Row],[FTE %]]*Table1[[#This Row],[Time Worked]]</f>
        <v>2.5</v>
      </c>
      <c r="W27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275" s="38">
        <f t="shared" si="38"/>
        <v>309.64999999999998</v>
      </c>
      <c r="Y275" s="18">
        <f t="shared" si="39"/>
        <v>0</v>
      </c>
    </row>
    <row r="276" spans="1:25" x14ac:dyDescent="0.25">
      <c r="A276" s="10">
        <f t="shared" si="32"/>
        <v>275</v>
      </c>
      <c r="B276" s="6" t="str">
        <f t="shared" si="33"/>
        <v>72620192637RM</v>
      </c>
      <c r="C276" s="1" t="s">
        <v>967</v>
      </c>
      <c r="D276" s="1" t="s">
        <v>996</v>
      </c>
      <c r="E276" s="53" t="str">
        <f t="shared" si="34"/>
        <v>Unbilled</v>
      </c>
      <c r="F276" s="1">
        <v>2637</v>
      </c>
      <c r="G276" s="37" t="str">
        <f>VLOOKUP(Table1[[#This Row],[WO'#]],Table2[#All],2,FALSE)</f>
        <v>NV MRDP</v>
      </c>
      <c r="H276" s="20" t="s">
        <v>996</v>
      </c>
      <c r="I276" s="2">
        <v>43672</v>
      </c>
      <c r="J276" s="4">
        <f t="shared" si="35"/>
        <v>26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2.5</v>
      </c>
      <c r="Q276" s="3">
        <f t="shared" si="36"/>
        <v>2.5</v>
      </c>
      <c r="R276" s="1" t="s">
        <v>17</v>
      </c>
      <c r="S276" s="1" t="s">
        <v>23</v>
      </c>
      <c r="T276" s="3">
        <f t="shared" si="37"/>
        <v>0</v>
      </c>
      <c r="U276" s="44">
        <f>IF(Table1[[#This Row],[Initials]]="RM",$AE$10,IF(Table1[[#This Row],[Initials]]="JPH",$AE$11,IF(Table1[[#This Row],[Initials]]="IE",$AE$13,IF(Table1[[#This Row],[Initials]]="JM",$AE$14,1))))</f>
        <v>0.5</v>
      </c>
      <c r="V276" s="3">
        <f>Table1[[#This Row],[FTE %]]*Table1[[#This Row],[Time Worked]]</f>
        <v>1.25</v>
      </c>
      <c r="W27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276" s="38">
        <f t="shared" si="38"/>
        <v>154.82499999999999</v>
      </c>
      <c r="Y276" s="18">
        <f t="shared" si="39"/>
        <v>0</v>
      </c>
    </row>
    <row r="277" spans="1:25" x14ac:dyDescent="0.25">
      <c r="A277" s="10">
        <f t="shared" si="32"/>
        <v>276</v>
      </c>
      <c r="B277" s="6" t="str">
        <f t="shared" si="33"/>
        <v>72920192637RM</v>
      </c>
      <c r="C277" s="1" t="s">
        <v>967</v>
      </c>
      <c r="D277" s="1" t="s">
        <v>996</v>
      </c>
      <c r="E277" s="53" t="str">
        <f t="shared" si="34"/>
        <v>Unbilled</v>
      </c>
      <c r="F277" s="1">
        <v>2637</v>
      </c>
      <c r="G277" s="37" t="str">
        <f>VLOOKUP(Table1[[#This Row],[WO'#]],Table2[#All],2,FALSE)</f>
        <v>NV MRDP</v>
      </c>
      <c r="H277" s="20" t="s">
        <v>996</v>
      </c>
      <c r="I277" s="2">
        <v>43675</v>
      </c>
      <c r="J277" s="4">
        <f t="shared" si="35"/>
        <v>29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3">
        <v>5.5</v>
      </c>
      <c r="Q277" s="3">
        <f t="shared" si="36"/>
        <v>5.5</v>
      </c>
      <c r="R277" s="1" t="s">
        <v>17</v>
      </c>
      <c r="S277" s="1" t="s">
        <v>23</v>
      </c>
      <c r="T277" s="3">
        <f t="shared" si="37"/>
        <v>0</v>
      </c>
      <c r="U277" s="44">
        <f>IF(Table1[[#This Row],[Initials]]="RM",$AE$10,IF(Table1[[#This Row],[Initials]]="JPH",$AE$11,IF(Table1[[#This Row],[Initials]]="IE",$AE$13,IF(Table1[[#This Row],[Initials]]="JM",$AE$14,1))))</f>
        <v>0.5</v>
      </c>
      <c r="V277" s="3">
        <f>Table1[[#This Row],[FTE %]]*Table1[[#This Row],[Time Worked]]</f>
        <v>2.75</v>
      </c>
      <c r="W27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340.61500000000001</v>
      </c>
      <c r="X277" s="38">
        <f t="shared" si="38"/>
        <v>340.61500000000001</v>
      </c>
      <c r="Y277" s="18">
        <f t="shared" si="39"/>
        <v>0</v>
      </c>
    </row>
    <row r="278" spans="1:25" x14ac:dyDescent="0.25">
      <c r="A278" s="10">
        <f t="shared" si="32"/>
        <v>277</v>
      </c>
      <c r="B278" s="6" t="str">
        <f t="shared" si="33"/>
        <v>73020192637JM</v>
      </c>
      <c r="C278" s="1" t="s">
        <v>967</v>
      </c>
      <c r="D278" s="1" t="s">
        <v>996</v>
      </c>
      <c r="E278" s="53" t="str">
        <f t="shared" si="34"/>
        <v>Unbilled</v>
      </c>
      <c r="F278" s="1">
        <v>2637</v>
      </c>
      <c r="G278" s="37" t="str">
        <f>VLOOKUP(Table1[[#This Row],[WO'#]],Table2[#All],2,FALSE)</f>
        <v>NV MRDP</v>
      </c>
      <c r="H278" s="20" t="s">
        <v>996</v>
      </c>
      <c r="I278" s="2">
        <v>43676</v>
      </c>
      <c r="J278" s="4">
        <f t="shared" si="35"/>
        <v>30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4.5</v>
      </c>
      <c r="Q278" s="3">
        <f t="shared" si="36"/>
        <v>4.5</v>
      </c>
      <c r="R278" s="1" t="s">
        <v>972</v>
      </c>
      <c r="S278" s="1" t="s">
        <v>23</v>
      </c>
      <c r="T278" s="3">
        <f t="shared" si="37"/>
        <v>0</v>
      </c>
      <c r="U278" s="44">
        <f>IF(Table1[[#This Row],[Initials]]="RM",$AE$10,IF(Table1[[#This Row],[Initials]]="JPH",$AE$11,IF(Table1[[#This Row],[Initials]]="IE",$AE$13,IF(Table1[[#This Row],[Initials]]="JM",$AE$14,1))))</f>
        <v>0.39500000000000002</v>
      </c>
      <c r="V278" s="3">
        <f>Table1[[#This Row],[FTE %]]*Table1[[#This Row],[Time Worked]]</f>
        <v>1.7775000000000001</v>
      </c>
      <c r="W27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278" s="38">
        <f t="shared" si="38"/>
        <v>278.685</v>
      </c>
      <c r="Y278" s="18">
        <f t="shared" si="39"/>
        <v>0</v>
      </c>
    </row>
    <row r="279" spans="1:25" x14ac:dyDescent="0.25">
      <c r="A279" s="10">
        <f t="shared" si="32"/>
        <v>278</v>
      </c>
      <c r="B279" s="6" t="str">
        <f t="shared" si="33"/>
        <v>73020192637RM</v>
      </c>
      <c r="C279" s="1" t="s">
        <v>967</v>
      </c>
      <c r="D279" s="1" t="s">
        <v>996</v>
      </c>
      <c r="E279" s="53" t="str">
        <f t="shared" si="34"/>
        <v>Unbilled</v>
      </c>
      <c r="F279" s="1">
        <v>2637</v>
      </c>
      <c r="G279" s="37" t="str">
        <f>VLOOKUP(Table1[[#This Row],[WO'#]],Table2[#All],2,FALSE)</f>
        <v>NV MRDP</v>
      </c>
      <c r="H279" s="20" t="s">
        <v>996</v>
      </c>
      <c r="I279" s="2">
        <v>43676</v>
      </c>
      <c r="J279" s="4">
        <f t="shared" si="35"/>
        <v>30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8</v>
      </c>
      <c r="Q279" s="3">
        <f t="shared" si="36"/>
        <v>8</v>
      </c>
      <c r="R279" s="1" t="s">
        <v>17</v>
      </c>
      <c r="S279" s="1" t="s">
        <v>23</v>
      </c>
      <c r="T279" s="3">
        <f t="shared" si="37"/>
        <v>0</v>
      </c>
      <c r="U279" s="44">
        <f>IF(Table1[[#This Row],[Initials]]="RM",$AE$10,IF(Table1[[#This Row],[Initials]]="JPH",$AE$11,IF(Table1[[#This Row],[Initials]]="IE",$AE$13,IF(Table1[[#This Row],[Initials]]="JM",$AE$14,1))))</f>
        <v>0.5</v>
      </c>
      <c r="V279" s="3">
        <f>Table1[[#This Row],[FTE %]]*Table1[[#This Row],[Time Worked]]</f>
        <v>4</v>
      </c>
      <c r="W27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79" s="38">
        <f t="shared" si="38"/>
        <v>495.44</v>
      </c>
      <c r="Y279" s="18">
        <f t="shared" si="39"/>
        <v>0</v>
      </c>
    </row>
    <row r="280" spans="1:25" x14ac:dyDescent="0.25">
      <c r="A280" s="10">
        <f t="shared" si="32"/>
        <v>279</v>
      </c>
      <c r="B280" s="6" t="str">
        <f t="shared" si="33"/>
        <v>73120192637JM</v>
      </c>
      <c r="C280" s="1" t="s">
        <v>967</v>
      </c>
      <c r="D280" s="1" t="s">
        <v>996</v>
      </c>
      <c r="E280" s="53" t="str">
        <f t="shared" si="34"/>
        <v>Unbilled</v>
      </c>
      <c r="F280" s="1">
        <v>2637</v>
      </c>
      <c r="G280" s="37" t="str">
        <f>VLOOKUP(Table1[[#This Row],[WO'#]],Table2[#All],2,FALSE)</f>
        <v>NV MRDP</v>
      </c>
      <c r="H280" s="20" t="s">
        <v>996</v>
      </c>
      <c r="I280" s="2">
        <v>43677</v>
      </c>
      <c r="J280" s="4">
        <f t="shared" si="35"/>
        <v>31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1.5</v>
      </c>
      <c r="Q280" s="3">
        <f t="shared" si="36"/>
        <v>1.5</v>
      </c>
      <c r="R280" s="1" t="s">
        <v>972</v>
      </c>
      <c r="S280" s="1" t="s">
        <v>23</v>
      </c>
      <c r="T280" s="3">
        <f t="shared" si="37"/>
        <v>0</v>
      </c>
      <c r="U280" s="44">
        <f>IF(Table1[[#This Row],[Initials]]="RM",$AE$10,IF(Table1[[#This Row],[Initials]]="JPH",$AE$11,IF(Table1[[#This Row],[Initials]]="IE",$AE$13,IF(Table1[[#This Row],[Initials]]="JM",$AE$14,1))))</f>
        <v>0.39500000000000002</v>
      </c>
      <c r="V280" s="3">
        <f>Table1[[#This Row],[FTE %]]*Table1[[#This Row],[Time Worked]]</f>
        <v>0.59250000000000003</v>
      </c>
      <c r="W28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80" s="38">
        <f t="shared" si="38"/>
        <v>92.894999999999996</v>
      </c>
      <c r="Y280" s="18">
        <f t="shared" si="39"/>
        <v>0</v>
      </c>
    </row>
    <row r="281" spans="1:25" x14ac:dyDescent="0.25">
      <c r="A281" s="10">
        <f t="shared" si="32"/>
        <v>280</v>
      </c>
      <c r="B281" s="6" t="str">
        <f t="shared" si="33"/>
        <v>8120192637JM</v>
      </c>
      <c r="C281" s="1" t="s">
        <v>967</v>
      </c>
      <c r="D281" s="1" t="s">
        <v>996</v>
      </c>
      <c r="E281" s="53" t="str">
        <f t="shared" si="34"/>
        <v>Unbilled</v>
      </c>
      <c r="F281" s="1">
        <v>2637</v>
      </c>
      <c r="G281" s="37" t="str">
        <f>VLOOKUP(Table1[[#This Row],[WO'#]],Table2[#All],2,FALSE)</f>
        <v>NV MRDP</v>
      </c>
      <c r="H281" s="20" t="s">
        <v>996</v>
      </c>
      <c r="I281" s="2">
        <v>43678</v>
      </c>
      <c r="J281" s="4">
        <f t="shared" si="35"/>
        <v>1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0.25</v>
      </c>
      <c r="Q281" s="3">
        <f t="shared" si="36"/>
        <v>0.25</v>
      </c>
      <c r="R281" s="1" t="s">
        <v>972</v>
      </c>
      <c r="S281" s="1" t="s">
        <v>23</v>
      </c>
      <c r="T281" s="3">
        <f t="shared" si="37"/>
        <v>0</v>
      </c>
      <c r="U281" s="44">
        <f>IF(Table1[[#This Row],[Initials]]="RM",$AE$10,IF(Table1[[#This Row],[Initials]]="JPH",$AE$11,IF(Table1[[#This Row],[Initials]]="IE",$AE$13,IF(Table1[[#This Row],[Initials]]="JM",$AE$14,1))))</f>
        <v>0.39500000000000002</v>
      </c>
      <c r="V281" s="3">
        <f>Table1[[#This Row],[FTE %]]*Table1[[#This Row],[Time Worked]]</f>
        <v>9.8750000000000004E-2</v>
      </c>
      <c r="W28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281" s="38">
        <f t="shared" si="38"/>
        <v>15.4825</v>
      </c>
      <c r="Y281" s="18">
        <f t="shared" si="39"/>
        <v>0</v>
      </c>
    </row>
    <row r="282" spans="1:25" x14ac:dyDescent="0.25">
      <c r="A282" s="10">
        <f t="shared" si="32"/>
        <v>281</v>
      </c>
      <c r="B282" s="6" t="str">
        <f t="shared" si="33"/>
        <v>8120192637RM</v>
      </c>
      <c r="C282" s="1" t="s">
        <v>967</v>
      </c>
      <c r="D282" s="1" t="s">
        <v>996</v>
      </c>
      <c r="E282" s="53" t="str">
        <f t="shared" si="34"/>
        <v>Unbilled</v>
      </c>
      <c r="F282" s="1">
        <v>2637</v>
      </c>
      <c r="G282" s="37" t="str">
        <f>VLOOKUP(Table1[[#This Row],[WO'#]],Table2[#All],2,FALSE)</f>
        <v>NV MRDP</v>
      </c>
      <c r="H282" s="20" t="s">
        <v>996</v>
      </c>
      <c r="I282" s="2">
        <v>43678</v>
      </c>
      <c r="J282" s="4">
        <f t="shared" si="35"/>
        <v>1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9.5</v>
      </c>
      <c r="Q282" s="3">
        <f t="shared" si="36"/>
        <v>9.5</v>
      </c>
      <c r="R282" s="1" t="s">
        <v>17</v>
      </c>
      <c r="S282" s="1" t="s">
        <v>23</v>
      </c>
      <c r="T282" s="3">
        <f t="shared" si="37"/>
        <v>0</v>
      </c>
      <c r="U282" s="44">
        <f>IF(Table1[[#This Row],[Initials]]="RM",$AE$10,IF(Table1[[#This Row],[Initials]]="JPH",$AE$11,IF(Table1[[#This Row],[Initials]]="IE",$AE$13,IF(Table1[[#This Row],[Initials]]="JM",$AE$14,1))))</f>
        <v>0.5</v>
      </c>
      <c r="V282" s="3">
        <f>Table1[[#This Row],[FTE %]]*Table1[[#This Row],[Time Worked]]</f>
        <v>4.75</v>
      </c>
      <c r="W28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588.33500000000004</v>
      </c>
      <c r="X282" s="38">
        <f t="shared" si="38"/>
        <v>588.33500000000004</v>
      </c>
      <c r="Y282" s="18">
        <f t="shared" si="39"/>
        <v>0</v>
      </c>
    </row>
    <row r="283" spans="1:25" x14ac:dyDescent="0.25">
      <c r="A283" s="10">
        <f t="shared" si="32"/>
        <v>282</v>
      </c>
      <c r="B283" s="6" t="str">
        <f t="shared" si="33"/>
        <v>8520192637RM</v>
      </c>
      <c r="C283" s="1" t="s">
        <v>967</v>
      </c>
      <c r="D283" s="1" t="s">
        <v>996</v>
      </c>
      <c r="E283" s="53" t="str">
        <f t="shared" si="34"/>
        <v>Unbilled</v>
      </c>
      <c r="F283" s="1">
        <v>2637</v>
      </c>
      <c r="G283" s="37" t="str">
        <f>VLOOKUP(Table1[[#This Row],[WO'#]],Table2[#All],2,FALSE)</f>
        <v>NV MRDP</v>
      </c>
      <c r="H283" s="20" t="s">
        <v>996</v>
      </c>
      <c r="I283" s="2">
        <v>43682</v>
      </c>
      <c r="J283" s="4">
        <f t="shared" si="35"/>
        <v>5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8</v>
      </c>
      <c r="Q283" s="3">
        <f t="shared" si="36"/>
        <v>8</v>
      </c>
      <c r="R283" s="1" t="s">
        <v>17</v>
      </c>
      <c r="S283" s="1" t="s">
        <v>23</v>
      </c>
      <c r="T283" s="3">
        <f t="shared" si="37"/>
        <v>0</v>
      </c>
      <c r="U283" s="44">
        <f>IF(Table1[[#This Row],[Initials]]="RM",$AE$10,IF(Table1[[#This Row],[Initials]]="JPH",$AE$11,IF(Table1[[#This Row],[Initials]]="IE",$AE$13,IF(Table1[[#This Row],[Initials]]="JM",$AE$14,1))))</f>
        <v>0.5</v>
      </c>
      <c r="V283" s="3">
        <f>Table1[[#This Row],[FTE %]]*Table1[[#This Row],[Time Worked]]</f>
        <v>4</v>
      </c>
      <c r="W28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83" s="38">
        <f t="shared" si="38"/>
        <v>495.44</v>
      </c>
      <c r="Y283" s="18">
        <f t="shared" si="39"/>
        <v>0</v>
      </c>
    </row>
    <row r="284" spans="1:25" x14ac:dyDescent="0.25">
      <c r="A284" s="10">
        <f t="shared" si="32"/>
        <v>283</v>
      </c>
      <c r="B284" s="6" t="str">
        <f t="shared" si="33"/>
        <v>8620192637RM</v>
      </c>
      <c r="C284" s="1" t="s">
        <v>967</v>
      </c>
      <c r="D284" s="1" t="s">
        <v>996</v>
      </c>
      <c r="E284" s="53" t="str">
        <f t="shared" si="34"/>
        <v>Unbilled</v>
      </c>
      <c r="F284" s="1">
        <v>2637</v>
      </c>
      <c r="G284" s="37" t="str">
        <f>VLOOKUP(Table1[[#This Row],[WO'#]],Table2[#All],2,FALSE)</f>
        <v>NV MRDP</v>
      </c>
      <c r="H284" s="20" t="s">
        <v>996</v>
      </c>
      <c r="I284" s="2">
        <v>43683</v>
      </c>
      <c r="J284" s="4">
        <f t="shared" si="35"/>
        <v>6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7.5</v>
      </c>
      <c r="Q284" s="3">
        <f t="shared" si="36"/>
        <v>7.5</v>
      </c>
      <c r="R284" s="1" t="s">
        <v>17</v>
      </c>
      <c r="S284" s="1" t="s">
        <v>23</v>
      </c>
      <c r="T284" s="3">
        <f t="shared" si="37"/>
        <v>0</v>
      </c>
      <c r="U284" s="44">
        <f>IF(Table1[[#This Row],[Initials]]="RM",$AE$10,IF(Table1[[#This Row],[Initials]]="JPH",$AE$11,IF(Table1[[#This Row],[Initials]]="IE",$AE$13,IF(Table1[[#This Row],[Initials]]="JM",$AE$14,1))))</f>
        <v>0.5</v>
      </c>
      <c r="V284" s="3">
        <f>Table1[[#This Row],[FTE %]]*Table1[[#This Row],[Time Worked]]</f>
        <v>3.75</v>
      </c>
      <c r="W28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464.47500000000002</v>
      </c>
      <c r="X284" s="38">
        <f t="shared" si="38"/>
        <v>464.47500000000002</v>
      </c>
      <c r="Y284" s="18">
        <f t="shared" si="39"/>
        <v>0</v>
      </c>
    </row>
    <row r="285" spans="1:25" x14ac:dyDescent="0.25">
      <c r="A285" s="10">
        <f t="shared" si="32"/>
        <v>284</v>
      </c>
      <c r="B285" s="6" t="str">
        <f t="shared" si="33"/>
        <v>8720192637JM</v>
      </c>
      <c r="C285" s="1" t="s">
        <v>967</v>
      </c>
      <c r="D285" s="1" t="s">
        <v>996</v>
      </c>
      <c r="E285" s="53" t="str">
        <f t="shared" si="34"/>
        <v>Unbilled</v>
      </c>
      <c r="F285" s="1">
        <v>2637</v>
      </c>
      <c r="G285" s="37" t="str">
        <f>VLOOKUP(Table1[[#This Row],[WO'#]],Table2[#All],2,FALSE)</f>
        <v>NV MRDP</v>
      </c>
      <c r="H285" s="20" t="s">
        <v>996</v>
      </c>
      <c r="I285" s="2">
        <v>43684</v>
      </c>
      <c r="J285" s="4">
        <f t="shared" si="35"/>
        <v>7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1.5</v>
      </c>
      <c r="Q285" s="3">
        <f t="shared" si="36"/>
        <v>1.5</v>
      </c>
      <c r="R285" s="1" t="s">
        <v>972</v>
      </c>
      <c r="S285" s="1" t="s">
        <v>23</v>
      </c>
      <c r="T285" s="3">
        <f t="shared" si="37"/>
        <v>0</v>
      </c>
      <c r="U285" s="44">
        <f>IF(Table1[[#This Row],[Initials]]="RM",$AE$10,IF(Table1[[#This Row],[Initials]]="JPH",$AE$11,IF(Table1[[#This Row],[Initials]]="IE",$AE$13,IF(Table1[[#This Row],[Initials]]="JM",$AE$14,1))))</f>
        <v>0.39500000000000002</v>
      </c>
      <c r="V285" s="3">
        <f>Table1[[#This Row],[FTE %]]*Table1[[#This Row],[Time Worked]]</f>
        <v>0.59250000000000003</v>
      </c>
      <c r="W28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85" s="38">
        <f t="shared" si="38"/>
        <v>92.894999999999996</v>
      </c>
      <c r="Y285" s="18">
        <f t="shared" si="39"/>
        <v>0</v>
      </c>
    </row>
    <row r="286" spans="1:25" x14ac:dyDescent="0.25">
      <c r="A286" s="10">
        <f t="shared" si="32"/>
        <v>285</v>
      </c>
      <c r="B286" s="6" t="str">
        <f t="shared" si="33"/>
        <v>8820192637RM</v>
      </c>
      <c r="C286" s="1" t="s">
        <v>967</v>
      </c>
      <c r="D286" s="1" t="s">
        <v>996</v>
      </c>
      <c r="E286" s="53" t="str">
        <f t="shared" si="34"/>
        <v>Unbilled</v>
      </c>
      <c r="F286" s="1">
        <v>2637</v>
      </c>
      <c r="G286" s="37" t="str">
        <f>VLOOKUP(Table1[[#This Row],[WO'#]],Table2[#All],2,FALSE)</f>
        <v>NV MRDP</v>
      </c>
      <c r="H286" s="20" t="s">
        <v>996</v>
      </c>
      <c r="I286" s="2">
        <v>43685</v>
      </c>
      <c r="J286" s="4">
        <f t="shared" si="35"/>
        <v>8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9</v>
      </c>
      <c r="Q286" s="3">
        <f t="shared" si="36"/>
        <v>9</v>
      </c>
      <c r="R286" s="1" t="s">
        <v>17</v>
      </c>
      <c r="S286" s="1" t="s">
        <v>23</v>
      </c>
      <c r="T286" s="3">
        <f t="shared" si="37"/>
        <v>0</v>
      </c>
      <c r="U286" s="44">
        <f>IF(Table1[[#This Row],[Initials]]="RM",$AE$10,IF(Table1[[#This Row],[Initials]]="JPH",$AE$11,IF(Table1[[#This Row],[Initials]]="IE",$AE$13,IF(Table1[[#This Row],[Initials]]="JM",$AE$14,1))))</f>
        <v>0.5</v>
      </c>
      <c r="V286" s="3">
        <f>Table1[[#This Row],[FTE %]]*Table1[[#This Row],[Time Worked]]</f>
        <v>4.5</v>
      </c>
      <c r="W28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286" s="38">
        <f t="shared" si="38"/>
        <v>557.37</v>
      </c>
      <c r="Y286" s="18">
        <f t="shared" si="39"/>
        <v>0</v>
      </c>
    </row>
    <row r="287" spans="1:25" x14ac:dyDescent="0.25">
      <c r="A287" s="10">
        <f t="shared" si="32"/>
        <v>286</v>
      </c>
      <c r="B287" s="6" t="str">
        <f t="shared" si="33"/>
        <v>81520192637RM</v>
      </c>
      <c r="C287" s="1" t="s">
        <v>967</v>
      </c>
      <c r="D287" s="1" t="s">
        <v>996</v>
      </c>
      <c r="E287" s="53" t="str">
        <f t="shared" si="34"/>
        <v>Unbilled</v>
      </c>
      <c r="F287" s="1">
        <v>2637</v>
      </c>
      <c r="G287" s="37" t="str">
        <f>VLOOKUP(Table1[[#This Row],[WO'#]],Table2[#All],2,FALSE)</f>
        <v>NV MRDP</v>
      </c>
      <c r="H287" s="20" t="s">
        <v>996</v>
      </c>
      <c r="I287" s="2">
        <v>43692</v>
      </c>
      <c r="J287" s="4">
        <f t="shared" si="35"/>
        <v>15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9</v>
      </c>
      <c r="Q287" s="3">
        <f t="shared" si="36"/>
        <v>9</v>
      </c>
      <c r="R287" s="1" t="s">
        <v>17</v>
      </c>
      <c r="S287" s="1" t="s">
        <v>23</v>
      </c>
      <c r="T287" s="3">
        <f t="shared" si="37"/>
        <v>0</v>
      </c>
      <c r="U287" s="44">
        <f>IF(Table1[[#This Row],[Initials]]="RM",$AE$10,IF(Table1[[#This Row],[Initials]]="JPH",$AE$11,IF(Table1[[#This Row],[Initials]]="IE",$AE$13,IF(Table1[[#This Row],[Initials]]="JM",$AE$14,1))))</f>
        <v>0.5</v>
      </c>
      <c r="V287" s="3">
        <f>Table1[[#This Row],[FTE %]]*Table1[[#This Row],[Time Worked]]</f>
        <v>4.5</v>
      </c>
      <c r="W28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287" s="38">
        <f t="shared" si="38"/>
        <v>557.37</v>
      </c>
      <c r="Y287" s="18">
        <f t="shared" si="39"/>
        <v>0</v>
      </c>
    </row>
    <row r="288" spans="1:25" x14ac:dyDescent="0.25">
      <c r="A288" s="10">
        <f t="shared" si="32"/>
        <v>287</v>
      </c>
      <c r="B288" s="6" t="str">
        <f t="shared" si="33"/>
        <v>81620192637RM</v>
      </c>
      <c r="C288" s="1" t="s">
        <v>967</v>
      </c>
      <c r="D288" s="1" t="s">
        <v>996</v>
      </c>
      <c r="E288" s="53" t="str">
        <f t="shared" si="34"/>
        <v>Unbilled</v>
      </c>
      <c r="F288" s="1">
        <v>2637</v>
      </c>
      <c r="G288" s="37" t="str">
        <f>VLOOKUP(Table1[[#This Row],[WO'#]],Table2[#All],2,FALSE)</f>
        <v>NV MRDP</v>
      </c>
      <c r="H288" s="20" t="s">
        <v>996</v>
      </c>
      <c r="I288" s="2">
        <v>43693</v>
      </c>
      <c r="J288" s="4">
        <f t="shared" si="35"/>
        <v>16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8</v>
      </c>
      <c r="Q288" s="3">
        <f t="shared" si="36"/>
        <v>8</v>
      </c>
      <c r="R288" s="1" t="s">
        <v>17</v>
      </c>
      <c r="S288" s="1" t="s">
        <v>23</v>
      </c>
      <c r="T288" s="3">
        <f t="shared" si="37"/>
        <v>0</v>
      </c>
      <c r="U288" s="44">
        <f>IF(Table1[[#This Row],[Initials]]="RM",$AE$10,IF(Table1[[#This Row],[Initials]]="JPH",$AE$11,IF(Table1[[#This Row],[Initials]]="IE",$AE$13,IF(Table1[[#This Row],[Initials]]="JM",$AE$14,1))))</f>
        <v>0.5</v>
      </c>
      <c r="V288" s="3">
        <f>Table1[[#This Row],[FTE %]]*Table1[[#This Row],[Time Worked]]</f>
        <v>4</v>
      </c>
      <c r="W28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288" s="38">
        <f t="shared" si="38"/>
        <v>495.44</v>
      </c>
      <c r="Y288" s="18">
        <f t="shared" si="39"/>
        <v>0</v>
      </c>
    </row>
    <row r="289" spans="1:25" x14ac:dyDescent="0.25">
      <c r="A289" s="10">
        <f t="shared" si="32"/>
        <v>288</v>
      </c>
      <c r="B289" s="6" t="str">
        <f t="shared" si="33"/>
        <v>81920192637RM</v>
      </c>
      <c r="C289" s="1" t="s">
        <v>967</v>
      </c>
      <c r="D289" s="1" t="s">
        <v>996</v>
      </c>
      <c r="E289" s="53" t="str">
        <f t="shared" si="34"/>
        <v>Unbilled</v>
      </c>
      <c r="F289" s="1">
        <v>2637</v>
      </c>
      <c r="G289" s="37" t="str">
        <f>VLOOKUP(Table1[[#This Row],[WO'#]],Table2[#All],2,FALSE)</f>
        <v>NV MRDP</v>
      </c>
      <c r="H289" s="20" t="s">
        <v>996</v>
      </c>
      <c r="I289" s="2">
        <v>43696</v>
      </c>
      <c r="J289" s="4">
        <f t="shared" si="35"/>
        <v>19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1</v>
      </c>
      <c r="Q289" s="3">
        <f t="shared" si="36"/>
        <v>1</v>
      </c>
      <c r="R289" s="1" t="s">
        <v>17</v>
      </c>
      <c r="S289" s="1" t="s">
        <v>23</v>
      </c>
      <c r="T289" s="3">
        <f t="shared" si="37"/>
        <v>0</v>
      </c>
      <c r="U289" s="44">
        <f>IF(Table1[[#This Row],[Initials]]="RM",$AE$10,IF(Table1[[#This Row],[Initials]]="JPH",$AE$11,IF(Table1[[#This Row],[Initials]]="IE",$AE$13,IF(Table1[[#This Row],[Initials]]="JM",$AE$14,1))))</f>
        <v>0.5</v>
      </c>
      <c r="V289" s="3">
        <f>Table1[[#This Row],[FTE %]]*Table1[[#This Row],[Time Worked]]</f>
        <v>0.5</v>
      </c>
      <c r="W28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89" s="38">
        <f t="shared" si="38"/>
        <v>61.93</v>
      </c>
      <c r="Y289" s="18">
        <f t="shared" si="39"/>
        <v>0</v>
      </c>
    </row>
    <row r="290" spans="1:25" x14ac:dyDescent="0.25">
      <c r="A290" s="10">
        <f t="shared" si="32"/>
        <v>289</v>
      </c>
      <c r="B290" s="6" t="str">
        <f t="shared" si="33"/>
        <v>82020192637RM</v>
      </c>
      <c r="C290" s="1" t="s">
        <v>967</v>
      </c>
      <c r="D290" s="1" t="s">
        <v>996</v>
      </c>
      <c r="E290" s="53" t="str">
        <f t="shared" si="34"/>
        <v>Unbilled</v>
      </c>
      <c r="F290" s="1">
        <v>2637</v>
      </c>
      <c r="G290" s="37" t="str">
        <f>VLOOKUP(Table1[[#This Row],[WO'#]],Table2[#All],2,FALSE)</f>
        <v>NV MRDP</v>
      </c>
      <c r="H290" s="20" t="s">
        <v>996</v>
      </c>
      <c r="I290" s="2">
        <v>43697</v>
      </c>
      <c r="J290" s="4">
        <f t="shared" si="35"/>
        <v>20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1</v>
      </c>
      <c r="Q290" s="3">
        <f t="shared" si="36"/>
        <v>1</v>
      </c>
      <c r="R290" s="1" t="s">
        <v>17</v>
      </c>
      <c r="S290" s="1" t="s">
        <v>23</v>
      </c>
      <c r="T290" s="3">
        <f t="shared" si="37"/>
        <v>0</v>
      </c>
      <c r="U290" s="44">
        <f>IF(Table1[[#This Row],[Initials]]="RM",$AE$10,IF(Table1[[#This Row],[Initials]]="JPH",$AE$11,IF(Table1[[#This Row],[Initials]]="IE",$AE$13,IF(Table1[[#This Row],[Initials]]="JM",$AE$14,1))))</f>
        <v>0.5</v>
      </c>
      <c r="V290" s="3">
        <f>Table1[[#This Row],[FTE %]]*Table1[[#This Row],[Time Worked]]</f>
        <v>0.5</v>
      </c>
      <c r="W29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90" s="38">
        <f t="shared" si="38"/>
        <v>61.93</v>
      </c>
      <c r="Y290" s="18">
        <f t="shared" si="39"/>
        <v>0</v>
      </c>
    </row>
    <row r="291" spans="1:25" x14ac:dyDescent="0.25">
      <c r="A291" s="10">
        <f t="shared" si="32"/>
        <v>290</v>
      </c>
      <c r="B291" s="6" t="str">
        <f t="shared" si="33"/>
        <v>82320192637JM</v>
      </c>
      <c r="C291" s="1" t="s">
        <v>967</v>
      </c>
      <c r="D291" s="1" t="s">
        <v>996</v>
      </c>
      <c r="E291" s="53" t="str">
        <f t="shared" si="34"/>
        <v>Unbilled</v>
      </c>
      <c r="F291" s="1">
        <v>2637</v>
      </c>
      <c r="G291" s="37" t="str">
        <f>VLOOKUP(Table1[[#This Row],[WO'#]],Table2[#All],2,FALSE)</f>
        <v>NV MRDP</v>
      </c>
      <c r="H291" s="20" t="s">
        <v>996</v>
      </c>
      <c r="I291" s="2">
        <v>43700</v>
      </c>
      <c r="J291" s="4">
        <f t="shared" si="35"/>
        <v>23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0.75</v>
      </c>
      <c r="Q291" s="3">
        <f t="shared" si="36"/>
        <v>0.75</v>
      </c>
      <c r="R291" s="1" t="s">
        <v>972</v>
      </c>
      <c r="S291" s="1" t="s">
        <v>23</v>
      </c>
      <c r="T291" s="3">
        <f t="shared" si="37"/>
        <v>0</v>
      </c>
      <c r="U291" s="44">
        <f>IF(Table1[[#This Row],[Initials]]="RM",$AE$10,IF(Table1[[#This Row],[Initials]]="JPH",$AE$11,IF(Table1[[#This Row],[Initials]]="IE",$AE$13,IF(Table1[[#This Row],[Initials]]="JM",$AE$14,1))))</f>
        <v>0.39500000000000002</v>
      </c>
      <c r="V291" s="3">
        <f>Table1[[#This Row],[FTE %]]*Table1[[#This Row],[Time Worked]]</f>
        <v>0.29625000000000001</v>
      </c>
      <c r="W29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291" s="38">
        <f t="shared" si="38"/>
        <v>46.447499999999998</v>
      </c>
      <c r="Y291" s="18">
        <f t="shared" si="39"/>
        <v>0</v>
      </c>
    </row>
    <row r="292" spans="1:25" x14ac:dyDescent="0.25">
      <c r="A292" s="10">
        <f t="shared" si="32"/>
        <v>291</v>
      </c>
      <c r="B292" s="6" t="str">
        <f t="shared" si="33"/>
        <v>82620192637RM</v>
      </c>
      <c r="C292" s="1" t="s">
        <v>967</v>
      </c>
      <c r="D292" s="1" t="s">
        <v>996</v>
      </c>
      <c r="E292" s="53" t="str">
        <f t="shared" si="34"/>
        <v>Unbilled</v>
      </c>
      <c r="F292" s="1">
        <v>2637</v>
      </c>
      <c r="G292" s="37" t="str">
        <f>VLOOKUP(Table1[[#This Row],[WO'#]],Table2[#All],2,FALSE)</f>
        <v>NV MRDP</v>
      </c>
      <c r="H292" s="20" t="s">
        <v>996</v>
      </c>
      <c r="I292" s="2">
        <v>43703</v>
      </c>
      <c r="J292" s="4">
        <f t="shared" si="35"/>
        <v>26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0.5</v>
      </c>
      <c r="Q292" s="3">
        <f t="shared" si="36"/>
        <v>0.5</v>
      </c>
      <c r="R292" s="1" t="s">
        <v>17</v>
      </c>
      <c r="S292" s="1" t="s">
        <v>23</v>
      </c>
      <c r="T292" s="3">
        <f t="shared" si="37"/>
        <v>0</v>
      </c>
      <c r="U292" s="44">
        <f>IF(Table1[[#This Row],[Initials]]="RM",$AE$10,IF(Table1[[#This Row],[Initials]]="JPH",$AE$11,IF(Table1[[#This Row],[Initials]]="IE",$AE$13,IF(Table1[[#This Row],[Initials]]="JM",$AE$14,1))))</f>
        <v>0.5</v>
      </c>
      <c r="V292" s="3">
        <f>Table1[[#This Row],[FTE %]]*Table1[[#This Row],[Time Worked]]</f>
        <v>0.25</v>
      </c>
      <c r="W29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92" s="38">
        <f t="shared" si="38"/>
        <v>30.965</v>
      </c>
      <c r="Y292" s="18">
        <f t="shared" si="39"/>
        <v>0</v>
      </c>
    </row>
    <row r="293" spans="1:25" x14ac:dyDescent="0.25">
      <c r="A293" s="10">
        <f t="shared" si="32"/>
        <v>292</v>
      </c>
      <c r="B293" s="6" t="str">
        <f t="shared" si="33"/>
        <v>82820192637RM</v>
      </c>
      <c r="C293" s="1" t="s">
        <v>967</v>
      </c>
      <c r="D293" s="1" t="s">
        <v>996</v>
      </c>
      <c r="E293" s="53" t="str">
        <f t="shared" si="34"/>
        <v>Unbilled</v>
      </c>
      <c r="F293" s="1">
        <v>2637</v>
      </c>
      <c r="G293" s="37" t="str">
        <f>VLOOKUP(Table1[[#This Row],[WO'#]],Table2[#All],2,FALSE)</f>
        <v>NV MRDP</v>
      </c>
      <c r="H293" s="20" t="s">
        <v>996</v>
      </c>
      <c r="I293" s="2">
        <v>43705</v>
      </c>
      <c r="J293" s="4">
        <f t="shared" si="35"/>
        <v>28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1</v>
      </c>
      <c r="Q293" s="3">
        <f t="shared" si="36"/>
        <v>1</v>
      </c>
      <c r="R293" s="1" t="s">
        <v>17</v>
      </c>
      <c r="S293" s="1" t="s">
        <v>23</v>
      </c>
      <c r="T293" s="3">
        <f t="shared" si="37"/>
        <v>0</v>
      </c>
      <c r="U293" s="44">
        <f>IF(Table1[[#This Row],[Initials]]="RM",$AE$10,IF(Table1[[#This Row],[Initials]]="JPH",$AE$11,IF(Table1[[#This Row],[Initials]]="IE",$AE$13,IF(Table1[[#This Row],[Initials]]="JM",$AE$14,1))))</f>
        <v>0.5</v>
      </c>
      <c r="V293" s="3">
        <f>Table1[[#This Row],[FTE %]]*Table1[[#This Row],[Time Worked]]</f>
        <v>0.5</v>
      </c>
      <c r="W29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293" s="38">
        <f t="shared" si="38"/>
        <v>61.93</v>
      </c>
      <c r="Y293" s="18">
        <f t="shared" si="39"/>
        <v>0</v>
      </c>
    </row>
    <row r="294" spans="1:25" x14ac:dyDescent="0.25">
      <c r="A294" s="10">
        <f t="shared" si="32"/>
        <v>293</v>
      </c>
      <c r="B294" s="6" t="str">
        <f t="shared" si="33"/>
        <v>82920192637JM</v>
      </c>
      <c r="C294" s="1" t="s">
        <v>967</v>
      </c>
      <c r="D294" s="1" t="s">
        <v>996</v>
      </c>
      <c r="E294" s="53" t="str">
        <f t="shared" si="34"/>
        <v>Unbilled</v>
      </c>
      <c r="F294" s="1">
        <v>2637</v>
      </c>
      <c r="G294" s="37" t="str">
        <f>VLOOKUP(Table1[[#This Row],[WO'#]],Table2[#All],2,FALSE)</f>
        <v>NV MRDP</v>
      </c>
      <c r="H294" s="20" t="s">
        <v>996</v>
      </c>
      <c r="I294" s="2">
        <v>43706</v>
      </c>
      <c r="J294" s="4">
        <f t="shared" si="35"/>
        <v>29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5</v>
      </c>
      <c r="Q294" s="3">
        <f t="shared" si="36"/>
        <v>5</v>
      </c>
      <c r="R294" s="1" t="s">
        <v>972</v>
      </c>
      <c r="S294" s="1" t="s">
        <v>23</v>
      </c>
      <c r="T294" s="3">
        <f t="shared" si="37"/>
        <v>0</v>
      </c>
      <c r="U294" s="44">
        <f>IF(Table1[[#This Row],[Initials]]="RM",$AE$10,IF(Table1[[#This Row],[Initials]]="JPH",$AE$11,IF(Table1[[#This Row],[Initials]]="IE",$AE$13,IF(Table1[[#This Row],[Initials]]="JM",$AE$14,1))))</f>
        <v>0.39500000000000002</v>
      </c>
      <c r="V294" s="3">
        <f>Table1[[#This Row],[FTE %]]*Table1[[#This Row],[Time Worked]]</f>
        <v>1.9750000000000001</v>
      </c>
      <c r="W29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294" s="38">
        <f t="shared" si="38"/>
        <v>309.64999999999998</v>
      </c>
      <c r="Y294" s="18">
        <f t="shared" si="39"/>
        <v>0</v>
      </c>
    </row>
    <row r="295" spans="1:25" x14ac:dyDescent="0.25">
      <c r="A295" s="10">
        <f t="shared" si="32"/>
        <v>294</v>
      </c>
      <c r="B295" s="6" t="str">
        <f t="shared" si="33"/>
        <v>82920192637RM</v>
      </c>
      <c r="C295" s="1" t="s">
        <v>967</v>
      </c>
      <c r="D295" s="1" t="s">
        <v>996</v>
      </c>
      <c r="E295" s="53" t="str">
        <f t="shared" si="34"/>
        <v>Unbilled</v>
      </c>
      <c r="F295" s="1">
        <v>2637</v>
      </c>
      <c r="G295" s="37" t="str">
        <f>VLOOKUP(Table1[[#This Row],[WO'#]],Table2[#All],2,FALSE)</f>
        <v>NV MRDP</v>
      </c>
      <c r="H295" s="20" t="s">
        <v>996</v>
      </c>
      <c r="I295" s="2">
        <v>43706</v>
      </c>
      <c r="J295" s="4">
        <f t="shared" si="35"/>
        <v>29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7</v>
      </c>
      <c r="Q295" s="3">
        <f t="shared" si="36"/>
        <v>7</v>
      </c>
      <c r="R295" s="1" t="s">
        <v>17</v>
      </c>
      <c r="S295" s="1" t="s">
        <v>23</v>
      </c>
      <c r="T295" s="3">
        <f t="shared" si="37"/>
        <v>0</v>
      </c>
      <c r="U295" s="44">
        <f>IF(Table1[[#This Row],[Initials]]="RM",$AE$10,IF(Table1[[#This Row],[Initials]]="JPH",$AE$11,IF(Table1[[#This Row],[Initials]]="IE",$AE$13,IF(Table1[[#This Row],[Initials]]="JM",$AE$14,1))))</f>
        <v>0.5</v>
      </c>
      <c r="V295" s="3">
        <f>Table1[[#This Row],[FTE %]]*Table1[[#This Row],[Time Worked]]</f>
        <v>3.5</v>
      </c>
      <c r="W29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433.51</v>
      </c>
      <c r="X295" s="38">
        <f t="shared" si="38"/>
        <v>433.51</v>
      </c>
      <c r="Y295" s="18">
        <f t="shared" si="39"/>
        <v>0</v>
      </c>
    </row>
    <row r="296" spans="1:25" x14ac:dyDescent="0.25">
      <c r="A296" s="10">
        <f t="shared" si="32"/>
        <v>295</v>
      </c>
      <c r="B296" s="6" t="str">
        <f t="shared" si="33"/>
        <v>9520192637RM</v>
      </c>
      <c r="C296" s="1" t="s">
        <v>967</v>
      </c>
      <c r="D296" s="1" t="s">
        <v>996</v>
      </c>
      <c r="E296" s="53" t="str">
        <f t="shared" si="34"/>
        <v>Unbilled</v>
      </c>
      <c r="F296" s="1">
        <v>2637</v>
      </c>
      <c r="G296" s="37" t="str">
        <f>VLOOKUP(Table1[[#This Row],[WO'#]],Table2[#All],2,FALSE)</f>
        <v>NV MRDP</v>
      </c>
      <c r="H296" s="20" t="s">
        <v>996</v>
      </c>
      <c r="I296" s="2">
        <v>43713</v>
      </c>
      <c r="J296" s="4">
        <f t="shared" si="35"/>
        <v>5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3</v>
      </c>
      <c r="Q296" s="3">
        <f t="shared" si="36"/>
        <v>3</v>
      </c>
      <c r="R296" s="1" t="s">
        <v>17</v>
      </c>
      <c r="S296" s="1" t="s">
        <v>23</v>
      </c>
      <c r="T296" s="3">
        <f t="shared" si="37"/>
        <v>0</v>
      </c>
      <c r="U296" s="44">
        <f>IF(Table1[[#This Row],[Initials]]="RM",$AE$10,IF(Table1[[#This Row],[Initials]]="JPH",$AE$11,IF(Table1[[#This Row],[Initials]]="IE",$AE$13,IF(Table1[[#This Row],[Initials]]="JM",$AE$14,1))))</f>
        <v>0.5</v>
      </c>
      <c r="V296" s="3">
        <f>Table1[[#This Row],[FTE %]]*Table1[[#This Row],[Time Worked]]</f>
        <v>1.5</v>
      </c>
      <c r="W29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296" s="38">
        <f t="shared" si="38"/>
        <v>185.79</v>
      </c>
      <c r="Y296" s="18">
        <f t="shared" si="39"/>
        <v>0</v>
      </c>
    </row>
    <row r="297" spans="1:25" x14ac:dyDescent="0.25">
      <c r="A297" s="10">
        <f t="shared" si="32"/>
        <v>296</v>
      </c>
      <c r="B297" s="6" t="str">
        <f t="shared" si="33"/>
        <v>51520192638RM</v>
      </c>
      <c r="C297" s="1" t="s">
        <v>967</v>
      </c>
      <c r="D297" s="1" t="s">
        <v>996</v>
      </c>
      <c r="E297" s="53" t="str">
        <f t="shared" si="34"/>
        <v>Unbilled</v>
      </c>
      <c r="F297" s="1">
        <v>2638</v>
      </c>
      <c r="G297" s="37" t="str">
        <f>VLOOKUP(Table1[[#This Row],[WO'#]],Table2[#All],2,FALSE)</f>
        <v>P&amp;M - 2nd Half 2019 (FY20)</v>
      </c>
      <c r="H297" s="20" t="s">
        <v>996</v>
      </c>
      <c r="I297" s="2">
        <v>43600</v>
      </c>
      <c r="J297" s="4">
        <f t="shared" si="35"/>
        <v>15</v>
      </c>
      <c r="K297" s="3">
        <v>0.5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f t="shared" si="36"/>
        <v>0.5</v>
      </c>
      <c r="R297" s="1" t="s">
        <v>17</v>
      </c>
      <c r="S297" s="1" t="s">
        <v>23</v>
      </c>
      <c r="T297" s="3">
        <f t="shared" si="37"/>
        <v>0</v>
      </c>
      <c r="U297" s="44">
        <f>IF(Table1[[#This Row],[Initials]]="RM",$AE$10,IF(Table1[[#This Row],[Initials]]="JPH",$AE$11,IF(Table1[[#This Row],[Initials]]="IE",$AE$13,IF(Table1[[#This Row],[Initials]]="JM",$AE$14,1))))</f>
        <v>0.5</v>
      </c>
      <c r="V297" s="3">
        <f>Table1[[#This Row],[FTE %]]*Table1[[#This Row],[Time Worked]]</f>
        <v>0.25</v>
      </c>
      <c r="W29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297" s="38">
        <f t="shared" si="38"/>
        <v>24.19</v>
      </c>
      <c r="Y297" s="18">
        <f t="shared" si="39"/>
        <v>0</v>
      </c>
    </row>
    <row r="298" spans="1:25" x14ac:dyDescent="0.25">
      <c r="A298" s="10">
        <f t="shared" si="32"/>
        <v>297</v>
      </c>
      <c r="B298" s="6" t="str">
        <f t="shared" si="33"/>
        <v>7120192638RM</v>
      </c>
      <c r="C298" s="1" t="s">
        <v>967</v>
      </c>
      <c r="D298" s="1" t="s">
        <v>996</v>
      </c>
      <c r="E298" s="1" t="str">
        <f t="shared" si="34"/>
        <v>Unbilled</v>
      </c>
      <c r="F298" s="1">
        <v>2638</v>
      </c>
      <c r="G298" s="21" t="str">
        <f>VLOOKUP(Table1[[#This Row],[WO'#]],Table2[#All],2,FALSE)</f>
        <v>P&amp;M - 2nd Half 2019 (FY20)</v>
      </c>
      <c r="H298" s="20" t="s">
        <v>996</v>
      </c>
      <c r="I298" s="2">
        <v>43647</v>
      </c>
      <c r="J298" s="4">
        <f t="shared" si="35"/>
        <v>1</v>
      </c>
      <c r="K298" s="3">
        <v>1.5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f t="shared" si="36"/>
        <v>1.5</v>
      </c>
      <c r="R298" s="1" t="s">
        <v>17</v>
      </c>
      <c r="S298" s="1" t="s">
        <v>23</v>
      </c>
      <c r="T298" s="3">
        <f t="shared" si="37"/>
        <v>0</v>
      </c>
      <c r="U298" s="44">
        <f>IF(Table1[[#This Row],[Initials]]="RM",$AE$10,IF(Table1[[#This Row],[Initials]]="JPH",$AE$11,IF(Table1[[#This Row],[Initials]]="IE",$AE$13,IF(Table1[[#This Row],[Initials]]="JM",$AE$14,1))))</f>
        <v>0.5</v>
      </c>
      <c r="V298" s="3">
        <f>Table1[[#This Row],[FTE %]]*Table1[[#This Row],[Time Worked]]</f>
        <v>0.75</v>
      </c>
      <c r="W29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298" s="9">
        <f t="shared" si="38"/>
        <v>92.894999999999996</v>
      </c>
      <c r="Y298" s="18">
        <f t="shared" si="39"/>
        <v>0</v>
      </c>
    </row>
    <row r="299" spans="1:25" x14ac:dyDescent="0.25">
      <c r="A299" s="10">
        <f t="shared" si="32"/>
        <v>298</v>
      </c>
      <c r="B299" s="6" t="str">
        <f t="shared" si="33"/>
        <v>7120192638RM</v>
      </c>
      <c r="C299" s="1" t="s">
        <v>967</v>
      </c>
      <c r="D299" s="1" t="s">
        <v>996</v>
      </c>
      <c r="E299" s="1" t="str">
        <f t="shared" si="34"/>
        <v>Unbilled</v>
      </c>
      <c r="F299" s="1">
        <v>2638</v>
      </c>
      <c r="G299" s="37" t="str">
        <f>VLOOKUP(Table1[[#This Row],[WO'#]],Table2[#All],2,FALSE)</f>
        <v>P&amp;M - 2nd Half 2019 (FY20)</v>
      </c>
      <c r="H299" s="20" t="s">
        <v>996</v>
      </c>
      <c r="I299" s="2">
        <v>43647</v>
      </c>
      <c r="J299" s="4">
        <f t="shared" si="35"/>
        <v>1</v>
      </c>
      <c r="K299" s="3">
        <v>0</v>
      </c>
      <c r="L299" s="3">
        <v>3.25</v>
      </c>
      <c r="M299" s="3">
        <v>0</v>
      </c>
      <c r="N299" s="3">
        <v>0</v>
      </c>
      <c r="O299" s="3">
        <v>0</v>
      </c>
      <c r="P299" s="3">
        <v>0</v>
      </c>
      <c r="Q299" s="3">
        <f t="shared" si="36"/>
        <v>3.25</v>
      </c>
      <c r="R299" s="1" t="s">
        <v>17</v>
      </c>
      <c r="S299" s="1" t="s">
        <v>23</v>
      </c>
      <c r="T299" s="3">
        <f t="shared" si="37"/>
        <v>0</v>
      </c>
      <c r="U299" s="44">
        <f>IF(Table1[[#This Row],[Initials]]="RM",$AE$10,IF(Table1[[#This Row],[Initials]]="JPH",$AE$11,IF(Table1[[#This Row],[Initials]]="IE",$AE$13,IF(Table1[[#This Row],[Initials]]="JM",$AE$14,1))))</f>
        <v>0.5</v>
      </c>
      <c r="V299" s="3">
        <f>Table1[[#This Row],[FTE %]]*Table1[[#This Row],[Time Worked]]</f>
        <v>1.625</v>
      </c>
      <c r="W29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299" s="38">
        <f t="shared" si="38"/>
        <v>201.27250000000001</v>
      </c>
      <c r="Y299" s="18">
        <f t="shared" si="39"/>
        <v>0</v>
      </c>
    </row>
    <row r="300" spans="1:25" x14ac:dyDescent="0.25">
      <c r="A300" s="10">
        <f t="shared" si="32"/>
        <v>299</v>
      </c>
      <c r="B300" s="6" t="str">
        <f t="shared" si="33"/>
        <v>7120192638RM</v>
      </c>
      <c r="C300" s="1" t="s">
        <v>967</v>
      </c>
      <c r="D300" s="1" t="s">
        <v>996</v>
      </c>
      <c r="E300" s="1" t="str">
        <f t="shared" si="34"/>
        <v>Unbilled</v>
      </c>
      <c r="F300" s="1">
        <v>2638</v>
      </c>
      <c r="G300" s="37" t="str">
        <f>VLOOKUP(Table1[[#This Row],[WO'#]],Table2[#All],2,FALSE)</f>
        <v>P&amp;M - 2nd Half 2019 (FY20)</v>
      </c>
      <c r="H300" s="20" t="s">
        <v>996</v>
      </c>
      <c r="I300" s="2">
        <v>43647</v>
      </c>
      <c r="J300" s="4">
        <f t="shared" si="35"/>
        <v>1</v>
      </c>
      <c r="K300" s="3">
        <v>0</v>
      </c>
      <c r="L300" s="3">
        <v>0</v>
      </c>
      <c r="M300" s="3">
        <v>0</v>
      </c>
      <c r="N300" s="3">
        <v>2</v>
      </c>
      <c r="O300" s="3">
        <v>0</v>
      </c>
      <c r="P300" s="3">
        <v>0</v>
      </c>
      <c r="Q300" s="3">
        <f t="shared" si="36"/>
        <v>2</v>
      </c>
      <c r="R300" s="1" t="s">
        <v>17</v>
      </c>
      <c r="S300" s="1" t="s">
        <v>23</v>
      </c>
      <c r="T300" s="3">
        <f t="shared" si="37"/>
        <v>0</v>
      </c>
      <c r="U300" s="44">
        <f>IF(Table1[[#This Row],[Initials]]="RM",$AE$10,IF(Table1[[#This Row],[Initials]]="JPH",$AE$11,IF(Table1[[#This Row],[Initials]]="IE",$AE$13,IF(Table1[[#This Row],[Initials]]="JM",$AE$14,1))))</f>
        <v>0.5</v>
      </c>
      <c r="V300" s="3">
        <f>Table1[[#This Row],[FTE %]]*Table1[[#This Row],[Time Worked]]</f>
        <v>1</v>
      </c>
      <c r="W30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00" s="38">
        <f t="shared" si="38"/>
        <v>123.86</v>
      </c>
      <c r="Y300" s="18">
        <f t="shared" si="39"/>
        <v>0</v>
      </c>
    </row>
    <row r="301" spans="1:25" x14ac:dyDescent="0.25">
      <c r="A301" s="10">
        <f t="shared" si="32"/>
        <v>300</v>
      </c>
      <c r="B301" s="6" t="str">
        <f t="shared" si="33"/>
        <v>7220192638JM</v>
      </c>
      <c r="C301" s="1" t="s">
        <v>967</v>
      </c>
      <c r="D301" s="1" t="s">
        <v>996</v>
      </c>
      <c r="E301" s="1" t="str">
        <f t="shared" si="34"/>
        <v>Unbilled</v>
      </c>
      <c r="F301" s="1">
        <v>2638</v>
      </c>
      <c r="G301" s="37" t="str">
        <f>VLOOKUP(Table1[[#This Row],[WO'#]],Table2[#All],2,FALSE)</f>
        <v>P&amp;M - 2nd Half 2019 (FY20)</v>
      </c>
      <c r="H301" s="20" t="s">
        <v>996</v>
      </c>
      <c r="I301" s="2">
        <v>43648</v>
      </c>
      <c r="J301" s="4">
        <f t="shared" si="35"/>
        <v>2</v>
      </c>
      <c r="K301" s="3">
        <v>3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f t="shared" si="36"/>
        <v>3</v>
      </c>
      <c r="R301" s="1" t="s">
        <v>972</v>
      </c>
      <c r="S301" s="1" t="s">
        <v>23</v>
      </c>
      <c r="T301" s="3">
        <f t="shared" si="37"/>
        <v>0</v>
      </c>
      <c r="U301" s="44">
        <f>IF(Table1[[#This Row],[Initials]]="RM",$AE$10,IF(Table1[[#This Row],[Initials]]="JPH",$AE$11,IF(Table1[[#This Row],[Initials]]="IE",$AE$13,IF(Table1[[#This Row],[Initials]]="JM",$AE$14,1))))</f>
        <v>0.39500000000000002</v>
      </c>
      <c r="V301" s="3">
        <f>Table1[[#This Row],[FTE %]]*Table1[[#This Row],[Time Worked]]</f>
        <v>1.1850000000000001</v>
      </c>
      <c r="W30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301" s="38">
        <f t="shared" si="38"/>
        <v>185.79</v>
      </c>
      <c r="Y301" s="18">
        <f t="shared" si="39"/>
        <v>0</v>
      </c>
    </row>
    <row r="302" spans="1:25" x14ac:dyDescent="0.25">
      <c r="A302" s="10">
        <f t="shared" si="32"/>
        <v>301</v>
      </c>
      <c r="B302" s="6" t="str">
        <f t="shared" si="33"/>
        <v>7220192638RM</v>
      </c>
      <c r="C302" s="1" t="s">
        <v>967</v>
      </c>
      <c r="D302" s="1" t="s">
        <v>996</v>
      </c>
      <c r="E302" s="1" t="str">
        <f t="shared" si="34"/>
        <v>Unbilled</v>
      </c>
      <c r="F302" s="1">
        <v>2638</v>
      </c>
      <c r="G302" s="37" t="str">
        <f>VLOOKUP(Table1[[#This Row],[WO'#]],Table2[#All],2,FALSE)</f>
        <v>P&amp;M - 2nd Half 2019 (FY20)</v>
      </c>
      <c r="H302" s="20" t="s">
        <v>996</v>
      </c>
      <c r="I302" s="2">
        <v>43648</v>
      </c>
      <c r="J302" s="4">
        <f t="shared" si="35"/>
        <v>2</v>
      </c>
      <c r="K302" s="3">
        <v>2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f t="shared" si="36"/>
        <v>2</v>
      </c>
      <c r="R302" s="1" t="s">
        <v>17</v>
      </c>
      <c r="S302" s="1" t="s">
        <v>23</v>
      </c>
      <c r="T302" s="3">
        <f t="shared" si="37"/>
        <v>0</v>
      </c>
      <c r="U302" s="44">
        <f>IF(Table1[[#This Row],[Initials]]="RM",$AE$10,IF(Table1[[#This Row],[Initials]]="JPH",$AE$11,IF(Table1[[#This Row],[Initials]]="IE",$AE$13,IF(Table1[[#This Row],[Initials]]="JM",$AE$14,1))))</f>
        <v>0.5</v>
      </c>
      <c r="V302" s="3">
        <f>Table1[[#This Row],[FTE %]]*Table1[[#This Row],[Time Worked]]</f>
        <v>1</v>
      </c>
      <c r="W30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02" s="38">
        <f t="shared" si="38"/>
        <v>123.86</v>
      </c>
      <c r="Y302" s="18">
        <f t="shared" si="39"/>
        <v>0</v>
      </c>
    </row>
    <row r="303" spans="1:25" x14ac:dyDescent="0.25">
      <c r="A303" s="10">
        <f t="shared" si="32"/>
        <v>302</v>
      </c>
      <c r="B303" s="6" t="str">
        <f t="shared" si="33"/>
        <v>7320192638JM</v>
      </c>
      <c r="C303" s="1" t="s">
        <v>967</v>
      </c>
      <c r="D303" s="1" t="s">
        <v>996</v>
      </c>
      <c r="E303" s="1" t="str">
        <f t="shared" si="34"/>
        <v>Unbilled</v>
      </c>
      <c r="F303" s="1">
        <v>2638</v>
      </c>
      <c r="G303" s="37" t="str">
        <f>VLOOKUP(Table1[[#This Row],[WO'#]],Table2[#All],2,FALSE)</f>
        <v>P&amp;M - 2nd Half 2019 (FY20)</v>
      </c>
      <c r="H303" s="20" t="s">
        <v>996</v>
      </c>
      <c r="I303" s="2">
        <v>43649</v>
      </c>
      <c r="J303" s="4">
        <f t="shared" si="35"/>
        <v>3</v>
      </c>
      <c r="K303" s="3">
        <v>5.25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f t="shared" si="36"/>
        <v>5.25</v>
      </c>
      <c r="R303" s="1" t="s">
        <v>972</v>
      </c>
      <c r="S303" s="1" t="s">
        <v>23</v>
      </c>
      <c r="T303" s="3">
        <f t="shared" si="37"/>
        <v>0</v>
      </c>
      <c r="U303" s="44">
        <f>IF(Table1[[#This Row],[Initials]]="RM",$AE$10,IF(Table1[[#This Row],[Initials]]="JPH",$AE$11,IF(Table1[[#This Row],[Initials]]="IE",$AE$13,IF(Table1[[#This Row],[Initials]]="JM",$AE$14,1))))</f>
        <v>0.39500000000000002</v>
      </c>
      <c r="V303" s="3">
        <f>Table1[[#This Row],[FTE %]]*Table1[[#This Row],[Time Worked]]</f>
        <v>2.07375</v>
      </c>
      <c r="W30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325.13249999999999</v>
      </c>
      <c r="X303" s="38">
        <f t="shared" si="38"/>
        <v>325.13249999999999</v>
      </c>
      <c r="Y303" s="18">
        <f t="shared" si="39"/>
        <v>0</v>
      </c>
    </row>
    <row r="304" spans="1:25" x14ac:dyDescent="0.25">
      <c r="A304" s="10">
        <f t="shared" si="32"/>
        <v>303</v>
      </c>
      <c r="B304" s="6" t="str">
        <f t="shared" si="33"/>
        <v>7320192638RM</v>
      </c>
      <c r="C304" s="1" t="s">
        <v>967</v>
      </c>
      <c r="D304" s="1" t="s">
        <v>996</v>
      </c>
      <c r="E304" s="1" t="str">
        <f t="shared" si="34"/>
        <v>Unbilled</v>
      </c>
      <c r="F304" s="1">
        <v>2638</v>
      </c>
      <c r="G304" s="37" t="str">
        <f>VLOOKUP(Table1[[#This Row],[WO'#]],Table2[#All],2,FALSE)</f>
        <v>P&amp;M - 2nd Half 2019 (FY20)</v>
      </c>
      <c r="H304" s="20" t="s">
        <v>996</v>
      </c>
      <c r="I304" s="2">
        <v>43649</v>
      </c>
      <c r="J304" s="4">
        <f t="shared" si="35"/>
        <v>3</v>
      </c>
      <c r="K304" s="3">
        <v>0</v>
      </c>
      <c r="L304" s="3">
        <v>0</v>
      </c>
      <c r="M304" s="3">
        <v>0</v>
      </c>
      <c r="N304" s="3">
        <v>1</v>
      </c>
      <c r="O304" s="3">
        <v>0</v>
      </c>
      <c r="P304" s="3">
        <v>0</v>
      </c>
      <c r="Q304" s="3">
        <f t="shared" si="36"/>
        <v>1</v>
      </c>
      <c r="R304" s="1" t="s">
        <v>17</v>
      </c>
      <c r="S304" s="1" t="s">
        <v>23</v>
      </c>
      <c r="T304" s="3">
        <f t="shared" si="37"/>
        <v>0</v>
      </c>
      <c r="U304" s="44">
        <f>IF(Table1[[#This Row],[Initials]]="RM",$AE$10,IF(Table1[[#This Row],[Initials]]="JPH",$AE$11,IF(Table1[[#This Row],[Initials]]="IE",$AE$13,IF(Table1[[#This Row],[Initials]]="JM",$AE$14,1))))</f>
        <v>0.5</v>
      </c>
      <c r="V304" s="3">
        <f>Table1[[#This Row],[FTE %]]*Table1[[#This Row],[Time Worked]]</f>
        <v>0.5</v>
      </c>
      <c r="W30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04" s="38">
        <f t="shared" si="38"/>
        <v>61.93</v>
      </c>
      <c r="Y304" s="18">
        <f t="shared" si="39"/>
        <v>0</v>
      </c>
    </row>
    <row r="305" spans="1:25" x14ac:dyDescent="0.25">
      <c r="A305" s="10">
        <f t="shared" si="32"/>
        <v>304</v>
      </c>
      <c r="B305" s="6" t="str">
        <f t="shared" si="33"/>
        <v>7520192638RM</v>
      </c>
      <c r="C305" s="1" t="s">
        <v>967</v>
      </c>
      <c r="D305" s="1" t="s">
        <v>996</v>
      </c>
      <c r="E305" s="1" t="str">
        <f t="shared" si="34"/>
        <v>Unbilled</v>
      </c>
      <c r="F305" s="1">
        <v>2638</v>
      </c>
      <c r="G305" s="37" t="str">
        <f>VLOOKUP(Table1[[#This Row],[WO'#]],Table2[#All],2,FALSE)</f>
        <v>P&amp;M - 2nd Half 2019 (FY20)</v>
      </c>
      <c r="H305" s="20" t="s">
        <v>996</v>
      </c>
      <c r="I305" s="2">
        <v>43651</v>
      </c>
      <c r="J305" s="4">
        <f t="shared" si="35"/>
        <v>5</v>
      </c>
      <c r="K305" s="3">
        <v>0</v>
      </c>
      <c r="L305" s="3">
        <v>0</v>
      </c>
      <c r="M305" s="3">
        <v>0</v>
      </c>
      <c r="N305" s="3">
        <v>2</v>
      </c>
      <c r="O305" s="3">
        <v>0</v>
      </c>
      <c r="P305" s="3">
        <v>0</v>
      </c>
      <c r="Q305" s="3">
        <f t="shared" si="36"/>
        <v>2</v>
      </c>
      <c r="R305" s="1" t="s">
        <v>17</v>
      </c>
      <c r="S305" s="1" t="s">
        <v>23</v>
      </c>
      <c r="T305" s="3">
        <f t="shared" si="37"/>
        <v>0</v>
      </c>
      <c r="U305" s="44">
        <f>IF(Table1[[#This Row],[Initials]]="RM",$AE$10,IF(Table1[[#This Row],[Initials]]="JPH",$AE$11,IF(Table1[[#This Row],[Initials]]="IE",$AE$13,IF(Table1[[#This Row],[Initials]]="JM",$AE$14,1))))</f>
        <v>0.5</v>
      </c>
      <c r="V305" s="3">
        <f>Table1[[#This Row],[FTE %]]*Table1[[#This Row],[Time Worked]]</f>
        <v>1</v>
      </c>
      <c r="W30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05" s="38">
        <f t="shared" si="38"/>
        <v>123.86</v>
      </c>
      <c r="Y305" s="18">
        <f t="shared" si="39"/>
        <v>0</v>
      </c>
    </row>
    <row r="306" spans="1:25" x14ac:dyDescent="0.25">
      <c r="A306" s="10">
        <f t="shared" si="32"/>
        <v>305</v>
      </c>
      <c r="B306" s="6" t="str">
        <f t="shared" si="33"/>
        <v>7620192638JM</v>
      </c>
      <c r="C306" s="1" t="s">
        <v>967</v>
      </c>
      <c r="D306" s="1" t="s">
        <v>996</v>
      </c>
      <c r="E306" s="1" t="str">
        <f t="shared" si="34"/>
        <v>Unbilled</v>
      </c>
      <c r="F306" s="1">
        <v>2638</v>
      </c>
      <c r="G306" s="37" t="str">
        <f>VLOOKUP(Table1[[#This Row],[WO'#]],Table2[#All],2,FALSE)</f>
        <v>P&amp;M - 2nd Half 2019 (FY20)</v>
      </c>
      <c r="H306" s="20" t="s">
        <v>996</v>
      </c>
      <c r="I306" s="2">
        <v>43652</v>
      </c>
      <c r="J306" s="4">
        <f t="shared" si="35"/>
        <v>6</v>
      </c>
      <c r="K306" s="3">
        <v>2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f t="shared" si="36"/>
        <v>2</v>
      </c>
      <c r="R306" s="1" t="s">
        <v>972</v>
      </c>
      <c r="S306" s="1" t="s">
        <v>23</v>
      </c>
      <c r="T306" s="3">
        <f t="shared" si="37"/>
        <v>0</v>
      </c>
      <c r="U306" s="44">
        <f>IF(Table1[[#This Row],[Initials]]="RM",$AE$10,IF(Table1[[#This Row],[Initials]]="JPH",$AE$11,IF(Table1[[#This Row],[Initials]]="IE",$AE$13,IF(Table1[[#This Row],[Initials]]="JM",$AE$14,1))))</f>
        <v>0.39500000000000002</v>
      </c>
      <c r="V306" s="3">
        <f>Table1[[#This Row],[FTE %]]*Table1[[#This Row],[Time Worked]]</f>
        <v>0.79</v>
      </c>
      <c r="W30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06" s="38">
        <f t="shared" si="38"/>
        <v>123.86</v>
      </c>
      <c r="Y306" s="18">
        <f t="shared" si="39"/>
        <v>0</v>
      </c>
    </row>
    <row r="307" spans="1:25" x14ac:dyDescent="0.25">
      <c r="A307" s="10">
        <f t="shared" si="32"/>
        <v>306</v>
      </c>
      <c r="B307" s="6" t="str">
        <f t="shared" si="33"/>
        <v>7820192638RM</v>
      </c>
      <c r="C307" s="1" t="s">
        <v>967</v>
      </c>
      <c r="D307" s="1" t="s">
        <v>996</v>
      </c>
      <c r="E307" s="1" t="str">
        <f t="shared" si="34"/>
        <v>Unbilled</v>
      </c>
      <c r="F307" s="1">
        <v>2638</v>
      </c>
      <c r="G307" s="37" t="str">
        <f>VLOOKUP(Table1[[#This Row],[WO'#]],Table2[#All],2,FALSE)</f>
        <v>P&amp;M - 2nd Half 2019 (FY20)</v>
      </c>
      <c r="H307" s="20" t="s">
        <v>996</v>
      </c>
      <c r="I307" s="2">
        <v>43654</v>
      </c>
      <c r="J307" s="4">
        <f t="shared" si="35"/>
        <v>8</v>
      </c>
      <c r="K307" s="3">
        <v>1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f t="shared" si="36"/>
        <v>1</v>
      </c>
      <c r="R307" s="1" t="s">
        <v>17</v>
      </c>
      <c r="S307" s="1" t="s">
        <v>23</v>
      </c>
      <c r="T307" s="3">
        <f t="shared" si="37"/>
        <v>0</v>
      </c>
      <c r="U307" s="44">
        <f>IF(Table1[[#This Row],[Initials]]="RM",$AE$10,IF(Table1[[#This Row],[Initials]]="JPH",$AE$11,IF(Table1[[#This Row],[Initials]]="IE",$AE$13,IF(Table1[[#This Row],[Initials]]="JM",$AE$14,1))))</f>
        <v>0.5</v>
      </c>
      <c r="V307" s="3">
        <f>Table1[[#This Row],[FTE %]]*Table1[[#This Row],[Time Worked]]</f>
        <v>0.5</v>
      </c>
      <c r="W30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07" s="38">
        <f t="shared" si="38"/>
        <v>61.93</v>
      </c>
      <c r="Y307" s="18">
        <f t="shared" si="39"/>
        <v>0</v>
      </c>
    </row>
    <row r="308" spans="1:25" x14ac:dyDescent="0.25">
      <c r="A308" s="10">
        <f t="shared" si="32"/>
        <v>307</v>
      </c>
      <c r="B308" s="6" t="str">
        <f t="shared" si="33"/>
        <v>7820192638RM</v>
      </c>
      <c r="C308" s="1" t="s">
        <v>967</v>
      </c>
      <c r="D308" s="1" t="s">
        <v>996</v>
      </c>
      <c r="E308" s="1" t="str">
        <f t="shared" si="34"/>
        <v>Unbilled</v>
      </c>
      <c r="F308" s="1">
        <v>2638</v>
      </c>
      <c r="G308" s="37" t="str">
        <f>VLOOKUP(Table1[[#This Row],[WO'#]],Table2[#All],2,FALSE)</f>
        <v>P&amp;M - 2nd Half 2019 (FY20)</v>
      </c>
      <c r="H308" s="20" t="s">
        <v>996</v>
      </c>
      <c r="I308" s="2">
        <v>43654</v>
      </c>
      <c r="J308" s="4">
        <f t="shared" si="35"/>
        <v>8</v>
      </c>
      <c r="K308" s="3">
        <v>0</v>
      </c>
      <c r="L308" s="3">
        <v>0</v>
      </c>
      <c r="M308" s="3">
        <v>0</v>
      </c>
      <c r="N308" s="3">
        <v>3</v>
      </c>
      <c r="O308" s="3">
        <v>0</v>
      </c>
      <c r="P308" s="3">
        <v>0</v>
      </c>
      <c r="Q308" s="3">
        <f t="shared" si="36"/>
        <v>3</v>
      </c>
      <c r="R308" s="1" t="s">
        <v>17</v>
      </c>
      <c r="S308" s="1" t="s">
        <v>23</v>
      </c>
      <c r="T308" s="3">
        <f t="shared" si="37"/>
        <v>0</v>
      </c>
      <c r="U308" s="44">
        <f>IF(Table1[[#This Row],[Initials]]="RM",$AE$10,IF(Table1[[#This Row],[Initials]]="JPH",$AE$11,IF(Table1[[#This Row],[Initials]]="IE",$AE$13,IF(Table1[[#This Row],[Initials]]="JM",$AE$14,1))))</f>
        <v>0.5</v>
      </c>
      <c r="V308" s="3">
        <f>Table1[[#This Row],[FTE %]]*Table1[[#This Row],[Time Worked]]</f>
        <v>1.5</v>
      </c>
      <c r="W30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308" s="38">
        <f t="shared" si="38"/>
        <v>185.79</v>
      </c>
      <c r="Y308" s="18">
        <f t="shared" si="39"/>
        <v>0</v>
      </c>
    </row>
    <row r="309" spans="1:25" x14ac:dyDescent="0.25">
      <c r="A309" s="10">
        <f t="shared" si="32"/>
        <v>308</v>
      </c>
      <c r="B309" s="6" t="str">
        <f t="shared" si="33"/>
        <v>7920192638IE</v>
      </c>
      <c r="C309" s="1" t="s">
        <v>967</v>
      </c>
      <c r="D309" s="1" t="s">
        <v>996</v>
      </c>
      <c r="E309" s="1" t="str">
        <f t="shared" si="34"/>
        <v>Unbilled</v>
      </c>
      <c r="F309" s="1">
        <v>2638</v>
      </c>
      <c r="G309" s="37" t="str">
        <f>VLOOKUP(Table1[[#This Row],[WO'#]],Table2[#All],2,FALSE)</f>
        <v>P&amp;M - 2nd Half 2019 (FY20)</v>
      </c>
      <c r="H309" s="20" t="s">
        <v>996</v>
      </c>
      <c r="I309" s="2">
        <v>43655</v>
      </c>
      <c r="J309" s="4">
        <f t="shared" si="35"/>
        <v>9</v>
      </c>
      <c r="K309" s="3">
        <v>0.75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f t="shared" si="36"/>
        <v>0.75</v>
      </c>
      <c r="R309" s="1" t="s">
        <v>971</v>
      </c>
      <c r="S309" s="1" t="s">
        <v>23</v>
      </c>
      <c r="T309" s="3">
        <f t="shared" si="37"/>
        <v>0</v>
      </c>
      <c r="U309" s="44">
        <f>IF(Table1[[#This Row],[Initials]]="RM",$AE$10,IF(Table1[[#This Row],[Initials]]="JPH",$AE$11,IF(Table1[[#This Row],[Initials]]="IE",$AE$13,IF(Table1[[#This Row],[Initials]]="JM",$AE$14,1))))</f>
        <v>1</v>
      </c>
      <c r="V309" s="3">
        <f>Table1[[#This Row],[FTE %]]*Table1[[#This Row],[Time Worked]]</f>
        <v>0.75</v>
      </c>
      <c r="W30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09" s="38">
        <f t="shared" si="38"/>
        <v>46.447499999999998</v>
      </c>
      <c r="Y309" s="18">
        <f t="shared" si="39"/>
        <v>0</v>
      </c>
    </row>
    <row r="310" spans="1:25" x14ac:dyDescent="0.25">
      <c r="A310" s="10">
        <f t="shared" si="32"/>
        <v>309</v>
      </c>
      <c r="B310" s="6" t="str">
        <f t="shared" si="33"/>
        <v>7920192638IE</v>
      </c>
      <c r="C310" s="1" t="s">
        <v>967</v>
      </c>
      <c r="D310" s="1" t="s">
        <v>996</v>
      </c>
      <c r="E310" s="1" t="str">
        <f t="shared" si="34"/>
        <v>Unbilled</v>
      </c>
      <c r="F310" s="1">
        <v>2638</v>
      </c>
      <c r="G310" s="37" t="str">
        <f>VLOOKUP(Table1[[#This Row],[WO'#]],Table2[#All],2,FALSE)</f>
        <v>P&amp;M - 2nd Half 2019 (FY20)</v>
      </c>
      <c r="H310" s="20" t="s">
        <v>996</v>
      </c>
      <c r="I310" s="2">
        <v>43655</v>
      </c>
      <c r="J310" s="4">
        <f t="shared" si="35"/>
        <v>9</v>
      </c>
      <c r="K310" s="3">
        <v>0</v>
      </c>
      <c r="L310" s="3">
        <v>0.5</v>
      </c>
      <c r="M310" s="3">
        <v>0</v>
      </c>
      <c r="N310" s="3">
        <v>0</v>
      </c>
      <c r="O310" s="3">
        <v>0</v>
      </c>
      <c r="P310" s="3">
        <v>0</v>
      </c>
      <c r="Q310" s="3">
        <f t="shared" si="36"/>
        <v>0.5</v>
      </c>
      <c r="R310" s="1" t="s">
        <v>971</v>
      </c>
      <c r="S310" s="1" t="s">
        <v>23</v>
      </c>
      <c r="T310" s="3">
        <f t="shared" si="37"/>
        <v>0</v>
      </c>
      <c r="U310" s="44">
        <f>IF(Table1[[#This Row],[Initials]]="RM",$AE$10,IF(Table1[[#This Row],[Initials]]="JPH",$AE$11,IF(Table1[[#This Row],[Initials]]="IE",$AE$13,IF(Table1[[#This Row],[Initials]]="JM",$AE$14,1))))</f>
        <v>1</v>
      </c>
      <c r="V310" s="3">
        <f>Table1[[#This Row],[FTE %]]*Table1[[#This Row],[Time Worked]]</f>
        <v>0.5</v>
      </c>
      <c r="W3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10" s="38">
        <f t="shared" si="38"/>
        <v>30.965</v>
      </c>
      <c r="Y310" s="18">
        <f t="shared" si="39"/>
        <v>0</v>
      </c>
    </row>
    <row r="311" spans="1:25" x14ac:dyDescent="0.25">
      <c r="A311" s="10">
        <f t="shared" si="32"/>
        <v>310</v>
      </c>
      <c r="B311" s="6" t="str">
        <f t="shared" si="33"/>
        <v>7920192638JM</v>
      </c>
      <c r="C311" s="1" t="s">
        <v>967</v>
      </c>
      <c r="D311" s="1" t="s">
        <v>996</v>
      </c>
      <c r="E311" s="53" t="str">
        <f t="shared" si="34"/>
        <v>Unbilled</v>
      </c>
      <c r="F311" s="1">
        <v>2638</v>
      </c>
      <c r="G311" s="37" t="str">
        <f>VLOOKUP(Table1[[#This Row],[WO'#]],Table2[#All],2,FALSE)</f>
        <v>P&amp;M - 2nd Half 2019 (FY20)</v>
      </c>
      <c r="H311" s="20" t="s">
        <v>996</v>
      </c>
      <c r="I311" s="2">
        <v>43655</v>
      </c>
      <c r="J311" s="4">
        <f t="shared" si="35"/>
        <v>9</v>
      </c>
      <c r="K311" s="3">
        <v>0</v>
      </c>
      <c r="L311" s="3">
        <v>1.5</v>
      </c>
      <c r="M311" s="3">
        <v>0</v>
      </c>
      <c r="N311" s="3">
        <v>0</v>
      </c>
      <c r="O311" s="3">
        <v>0</v>
      </c>
      <c r="P311" s="3">
        <v>0</v>
      </c>
      <c r="Q311" s="3">
        <f t="shared" si="36"/>
        <v>1.5</v>
      </c>
      <c r="R311" s="1" t="s">
        <v>972</v>
      </c>
      <c r="S311" s="1" t="s">
        <v>23</v>
      </c>
      <c r="T311" s="3">
        <f t="shared" si="37"/>
        <v>0</v>
      </c>
      <c r="U311" s="44">
        <f>IF(Table1[[#This Row],[Initials]]="RM",$AE$10,IF(Table1[[#This Row],[Initials]]="JPH",$AE$11,IF(Table1[[#This Row],[Initials]]="IE",$AE$13,IF(Table1[[#This Row],[Initials]]="JM",$AE$14,1))))</f>
        <v>0.39500000000000002</v>
      </c>
      <c r="V311" s="3">
        <f>Table1[[#This Row],[FTE %]]*Table1[[#This Row],[Time Worked]]</f>
        <v>0.59250000000000003</v>
      </c>
      <c r="W3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11" s="38">
        <f t="shared" si="38"/>
        <v>92.894999999999996</v>
      </c>
      <c r="Y311" s="18">
        <f t="shared" si="39"/>
        <v>0</v>
      </c>
    </row>
    <row r="312" spans="1:25" x14ac:dyDescent="0.25">
      <c r="A312" s="10">
        <f t="shared" si="32"/>
        <v>311</v>
      </c>
      <c r="B312" s="6" t="str">
        <f t="shared" si="33"/>
        <v>7920192638JM</v>
      </c>
      <c r="C312" s="1" t="s">
        <v>967</v>
      </c>
      <c r="D312" s="1" t="s">
        <v>996</v>
      </c>
      <c r="E312" s="53" t="str">
        <f t="shared" si="34"/>
        <v>Unbilled</v>
      </c>
      <c r="F312" s="1">
        <v>2638</v>
      </c>
      <c r="G312" s="37" t="str">
        <f>VLOOKUP(Table1[[#This Row],[WO'#]],Table2[#All],2,FALSE)</f>
        <v>P&amp;M - 2nd Half 2019 (FY20)</v>
      </c>
      <c r="H312" s="20" t="s">
        <v>996</v>
      </c>
      <c r="I312" s="2">
        <v>43655</v>
      </c>
      <c r="J312" s="4">
        <f t="shared" si="35"/>
        <v>9</v>
      </c>
      <c r="K312" s="3">
        <v>0</v>
      </c>
      <c r="L312" s="3">
        <v>3</v>
      </c>
      <c r="M312" s="3">
        <v>0</v>
      </c>
      <c r="N312" s="3">
        <v>0</v>
      </c>
      <c r="O312" s="3">
        <v>0</v>
      </c>
      <c r="P312" s="3">
        <v>0</v>
      </c>
      <c r="Q312" s="3">
        <f t="shared" si="36"/>
        <v>3</v>
      </c>
      <c r="R312" s="1" t="s">
        <v>972</v>
      </c>
      <c r="S312" s="1" t="s">
        <v>23</v>
      </c>
      <c r="T312" s="3">
        <f t="shared" si="37"/>
        <v>0</v>
      </c>
      <c r="U312" s="44">
        <f>IF(Table1[[#This Row],[Initials]]="RM",$AE$10,IF(Table1[[#This Row],[Initials]]="JPH",$AE$11,IF(Table1[[#This Row],[Initials]]="IE",$AE$13,IF(Table1[[#This Row],[Initials]]="JM",$AE$14,1))))</f>
        <v>0.39500000000000002</v>
      </c>
      <c r="V312" s="3">
        <f>Table1[[#This Row],[FTE %]]*Table1[[#This Row],[Time Worked]]</f>
        <v>1.1850000000000001</v>
      </c>
      <c r="W3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312" s="38">
        <f t="shared" si="38"/>
        <v>185.79</v>
      </c>
      <c r="Y312" s="18">
        <f t="shared" si="39"/>
        <v>0</v>
      </c>
    </row>
    <row r="313" spans="1:25" x14ac:dyDescent="0.25">
      <c r="A313" s="10">
        <f t="shared" si="32"/>
        <v>312</v>
      </c>
      <c r="B313" s="6" t="str">
        <f t="shared" si="33"/>
        <v>7920192638JM</v>
      </c>
      <c r="C313" s="1" t="s">
        <v>967</v>
      </c>
      <c r="D313" s="1" t="s">
        <v>996</v>
      </c>
      <c r="E313" s="53" t="str">
        <f t="shared" si="34"/>
        <v>Unbilled</v>
      </c>
      <c r="F313" s="1">
        <v>2638</v>
      </c>
      <c r="G313" s="37" t="str">
        <f>VLOOKUP(Table1[[#This Row],[WO'#]],Table2[#All],2,FALSE)</f>
        <v>P&amp;M - 2nd Half 2019 (FY20)</v>
      </c>
      <c r="H313" s="20" t="s">
        <v>996</v>
      </c>
      <c r="I313" s="2">
        <v>43655</v>
      </c>
      <c r="J313" s="4">
        <f t="shared" si="35"/>
        <v>9</v>
      </c>
      <c r="K313" s="3">
        <v>3.5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f t="shared" si="36"/>
        <v>3.5</v>
      </c>
      <c r="R313" s="1" t="s">
        <v>972</v>
      </c>
      <c r="S313" s="1" t="s">
        <v>23</v>
      </c>
      <c r="T313" s="3">
        <f t="shared" si="37"/>
        <v>0</v>
      </c>
      <c r="U313" s="44">
        <f>IF(Table1[[#This Row],[Initials]]="RM",$AE$10,IF(Table1[[#This Row],[Initials]]="JPH",$AE$11,IF(Table1[[#This Row],[Initials]]="IE",$AE$13,IF(Table1[[#This Row],[Initials]]="JM",$AE$14,1))))</f>
        <v>0.39500000000000002</v>
      </c>
      <c r="V313" s="3">
        <f>Table1[[#This Row],[FTE %]]*Table1[[#This Row],[Time Worked]]</f>
        <v>1.3825000000000001</v>
      </c>
      <c r="W3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313" s="38">
        <f t="shared" si="38"/>
        <v>216.755</v>
      </c>
      <c r="Y313" s="18">
        <f t="shared" si="39"/>
        <v>0</v>
      </c>
    </row>
    <row r="314" spans="1:25" x14ac:dyDescent="0.25">
      <c r="A314" s="10">
        <f t="shared" si="32"/>
        <v>313</v>
      </c>
      <c r="B314" s="6" t="str">
        <f t="shared" si="33"/>
        <v>7920192638RM</v>
      </c>
      <c r="C314" s="1" t="s">
        <v>967</v>
      </c>
      <c r="D314" s="1" t="s">
        <v>996</v>
      </c>
      <c r="E314" s="1" t="str">
        <f t="shared" si="34"/>
        <v>Unbilled</v>
      </c>
      <c r="F314" s="1">
        <v>2638</v>
      </c>
      <c r="G314" s="37" t="str">
        <f>VLOOKUP(Table1[[#This Row],[WO'#]],Table2[#All],2,FALSE)</f>
        <v>P&amp;M - 2nd Half 2019 (FY20)</v>
      </c>
      <c r="H314" s="20" t="s">
        <v>996</v>
      </c>
      <c r="I314" s="2">
        <v>43655</v>
      </c>
      <c r="J314" s="4">
        <f t="shared" si="35"/>
        <v>9</v>
      </c>
      <c r="K314" s="3">
        <v>0.5</v>
      </c>
      <c r="L314" s="3">
        <v>0</v>
      </c>
      <c r="M314" s="3">
        <v>0</v>
      </c>
      <c r="N314" s="3">
        <v>0</v>
      </c>
      <c r="O314" s="3">
        <v>0</v>
      </c>
      <c r="P314" s="3">
        <v>0</v>
      </c>
      <c r="Q314" s="3">
        <f t="shared" si="36"/>
        <v>0.5</v>
      </c>
      <c r="R314" s="1" t="s">
        <v>17</v>
      </c>
      <c r="S314" s="1" t="s">
        <v>23</v>
      </c>
      <c r="T314" s="3">
        <f t="shared" si="37"/>
        <v>0</v>
      </c>
      <c r="U314" s="44">
        <f>IF(Table1[[#This Row],[Initials]]="RM",$AE$10,IF(Table1[[#This Row],[Initials]]="JPH",$AE$11,IF(Table1[[#This Row],[Initials]]="IE",$AE$13,IF(Table1[[#This Row],[Initials]]="JM",$AE$14,1))))</f>
        <v>0.5</v>
      </c>
      <c r="V314" s="3">
        <f>Table1[[#This Row],[FTE %]]*Table1[[#This Row],[Time Worked]]</f>
        <v>0.25</v>
      </c>
      <c r="W3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14" s="38">
        <f t="shared" si="38"/>
        <v>30.965</v>
      </c>
      <c r="Y314" s="18">
        <f t="shared" si="39"/>
        <v>0</v>
      </c>
    </row>
    <row r="315" spans="1:25" x14ac:dyDescent="0.25">
      <c r="A315" s="10">
        <f t="shared" si="32"/>
        <v>314</v>
      </c>
      <c r="B315" s="6" t="str">
        <f t="shared" si="33"/>
        <v>7920192638RM</v>
      </c>
      <c r="C315" s="1" t="s">
        <v>967</v>
      </c>
      <c r="D315" s="1" t="s">
        <v>996</v>
      </c>
      <c r="E315" s="1" t="str">
        <f t="shared" si="34"/>
        <v>Unbilled</v>
      </c>
      <c r="F315" s="1">
        <v>2638</v>
      </c>
      <c r="G315" s="37" t="str">
        <f>VLOOKUP(Table1[[#This Row],[WO'#]],Table2[#All],2,FALSE)</f>
        <v>P&amp;M - 2nd Half 2019 (FY20)</v>
      </c>
      <c r="H315" s="20" t="s">
        <v>996</v>
      </c>
      <c r="I315" s="2">
        <v>43655</v>
      </c>
      <c r="J315" s="4">
        <f t="shared" si="35"/>
        <v>9</v>
      </c>
      <c r="K315" s="3">
        <v>0</v>
      </c>
      <c r="L315" s="3">
        <v>0</v>
      </c>
      <c r="M315" s="3">
        <v>0</v>
      </c>
      <c r="N315" s="3">
        <v>5</v>
      </c>
      <c r="O315" s="3">
        <v>0</v>
      </c>
      <c r="P315" s="3">
        <v>0</v>
      </c>
      <c r="Q315" s="3">
        <f t="shared" si="36"/>
        <v>5</v>
      </c>
      <c r="R315" s="1" t="s">
        <v>17</v>
      </c>
      <c r="S315" s="1" t="s">
        <v>23</v>
      </c>
      <c r="T315" s="3">
        <f t="shared" si="37"/>
        <v>0</v>
      </c>
      <c r="U315" s="44">
        <f>IF(Table1[[#This Row],[Initials]]="RM",$AE$10,IF(Table1[[#This Row],[Initials]]="JPH",$AE$11,IF(Table1[[#This Row],[Initials]]="IE",$AE$13,IF(Table1[[#This Row],[Initials]]="JM",$AE$14,1))))</f>
        <v>0.5</v>
      </c>
      <c r="V315" s="3">
        <f>Table1[[#This Row],[FTE %]]*Table1[[#This Row],[Time Worked]]</f>
        <v>2.5</v>
      </c>
      <c r="W3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315" s="38">
        <f t="shared" si="38"/>
        <v>309.64999999999998</v>
      </c>
      <c r="Y315" s="18">
        <f t="shared" si="39"/>
        <v>0</v>
      </c>
    </row>
    <row r="316" spans="1:25" x14ac:dyDescent="0.25">
      <c r="A316" s="10">
        <f t="shared" si="32"/>
        <v>315</v>
      </c>
      <c r="B316" s="6" t="str">
        <f t="shared" si="33"/>
        <v>71020192638JM</v>
      </c>
      <c r="C316" s="1" t="s">
        <v>967</v>
      </c>
      <c r="D316" s="1" t="s">
        <v>996</v>
      </c>
      <c r="E316" s="53" t="str">
        <f t="shared" si="34"/>
        <v>Unbilled</v>
      </c>
      <c r="F316" s="1">
        <v>2638</v>
      </c>
      <c r="G316" s="37" t="str">
        <f>VLOOKUP(Table1[[#This Row],[WO'#]],Table2[#All],2,FALSE)</f>
        <v>P&amp;M - 2nd Half 2019 (FY20)</v>
      </c>
      <c r="H316" s="20" t="s">
        <v>996</v>
      </c>
      <c r="I316" s="2">
        <v>43656</v>
      </c>
      <c r="J316" s="4">
        <f t="shared" si="35"/>
        <v>10</v>
      </c>
      <c r="K316" s="3">
        <v>0</v>
      </c>
      <c r="L316" s="3">
        <v>0.25</v>
      </c>
      <c r="M316" s="3">
        <v>0</v>
      </c>
      <c r="N316" s="3">
        <v>0</v>
      </c>
      <c r="O316" s="3">
        <v>0</v>
      </c>
      <c r="P316" s="3">
        <v>0</v>
      </c>
      <c r="Q316" s="3">
        <f t="shared" si="36"/>
        <v>0.25</v>
      </c>
      <c r="R316" s="1" t="s">
        <v>972</v>
      </c>
      <c r="S316" s="1" t="s">
        <v>23</v>
      </c>
      <c r="T316" s="3">
        <f t="shared" si="37"/>
        <v>0</v>
      </c>
      <c r="U316" s="44">
        <f>IF(Table1[[#This Row],[Initials]]="RM",$AE$10,IF(Table1[[#This Row],[Initials]]="JPH",$AE$11,IF(Table1[[#This Row],[Initials]]="IE",$AE$13,IF(Table1[[#This Row],[Initials]]="JM",$AE$14,1))))</f>
        <v>0.39500000000000002</v>
      </c>
      <c r="V316" s="3">
        <f>Table1[[#This Row],[FTE %]]*Table1[[#This Row],[Time Worked]]</f>
        <v>9.8750000000000004E-2</v>
      </c>
      <c r="W3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16" s="38">
        <f t="shared" si="38"/>
        <v>15.4825</v>
      </c>
      <c r="Y316" s="18">
        <f t="shared" si="39"/>
        <v>0</v>
      </c>
    </row>
    <row r="317" spans="1:25" x14ac:dyDescent="0.25">
      <c r="A317" s="10">
        <f t="shared" si="32"/>
        <v>316</v>
      </c>
      <c r="B317" s="6" t="str">
        <f t="shared" si="33"/>
        <v>71020192638JM</v>
      </c>
      <c r="C317" s="1" t="s">
        <v>967</v>
      </c>
      <c r="D317" s="1" t="s">
        <v>996</v>
      </c>
      <c r="E317" s="53" t="str">
        <f t="shared" si="34"/>
        <v>Unbilled</v>
      </c>
      <c r="F317" s="1">
        <v>2638</v>
      </c>
      <c r="G317" s="37" t="str">
        <f>VLOOKUP(Table1[[#This Row],[WO'#]],Table2[#All],2,FALSE)</f>
        <v>P&amp;M - 2nd Half 2019 (FY20)</v>
      </c>
      <c r="H317" s="20" t="s">
        <v>996</v>
      </c>
      <c r="I317" s="2">
        <v>43656</v>
      </c>
      <c r="J317" s="4">
        <f t="shared" si="35"/>
        <v>10</v>
      </c>
      <c r="K317" s="3">
        <v>0</v>
      </c>
      <c r="L317" s="3">
        <v>0.25</v>
      </c>
      <c r="M317" s="3">
        <v>0</v>
      </c>
      <c r="N317" s="3">
        <v>0</v>
      </c>
      <c r="O317" s="3">
        <v>0</v>
      </c>
      <c r="P317" s="3">
        <v>0</v>
      </c>
      <c r="Q317" s="3">
        <f t="shared" si="36"/>
        <v>0.25</v>
      </c>
      <c r="R317" s="1" t="s">
        <v>972</v>
      </c>
      <c r="S317" s="1" t="s">
        <v>23</v>
      </c>
      <c r="T317" s="3">
        <f t="shared" si="37"/>
        <v>0</v>
      </c>
      <c r="U317" s="44">
        <f>IF(Table1[[#This Row],[Initials]]="RM",$AE$10,IF(Table1[[#This Row],[Initials]]="JPH",$AE$11,IF(Table1[[#This Row],[Initials]]="IE",$AE$13,IF(Table1[[#This Row],[Initials]]="JM",$AE$14,1))))</f>
        <v>0.39500000000000002</v>
      </c>
      <c r="V317" s="3">
        <f>Table1[[#This Row],[FTE %]]*Table1[[#This Row],[Time Worked]]</f>
        <v>9.8750000000000004E-2</v>
      </c>
      <c r="W3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17" s="38">
        <f t="shared" si="38"/>
        <v>15.4825</v>
      </c>
      <c r="Y317" s="18">
        <f t="shared" si="39"/>
        <v>0</v>
      </c>
    </row>
    <row r="318" spans="1:25" x14ac:dyDescent="0.25">
      <c r="A318" s="10">
        <f t="shared" si="32"/>
        <v>317</v>
      </c>
      <c r="B318" s="6" t="str">
        <f t="shared" si="33"/>
        <v>71020192638JM</v>
      </c>
      <c r="C318" s="1" t="s">
        <v>967</v>
      </c>
      <c r="D318" s="1" t="s">
        <v>996</v>
      </c>
      <c r="E318" s="53" t="str">
        <f t="shared" si="34"/>
        <v>Unbilled</v>
      </c>
      <c r="F318" s="1">
        <v>2638</v>
      </c>
      <c r="G318" s="37" t="str">
        <f>VLOOKUP(Table1[[#This Row],[WO'#]],Table2[#All],2,FALSE)</f>
        <v>P&amp;M - 2nd Half 2019 (FY20)</v>
      </c>
      <c r="H318" s="20" t="s">
        <v>996</v>
      </c>
      <c r="I318" s="2">
        <v>43656</v>
      </c>
      <c r="J318" s="4">
        <f t="shared" si="35"/>
        <v>10</v>
      </c>
      <c r="K318" s="3">
        <v>0</v>
      </c>
      <c r="L318" s="3">
        <v>0.75</v>
      </c>
      <c r="M318" s="3">
        <v>0</v>
      </c>
      <c r="N318" s="3">
        <v>0</v>
      </c>
      <c r="O318" s="3">
        <v>0</v>
      </c>
      <c r="P318" s="3">
        <v>0</v>
      </c>
      <c r="Q318" s="3">
        <f t="shared" si="36"/>
        <v>0.75</v>
      </c>
      <c r="R318" s="1" t="s">
        <v>972</v>
      </c>
      <c r="S318" s="1" t="s">
        <v>23</v>
      </c>
      <c r="T318" s="3">
        <f t="shared" si="37"/>
        <v>0</v>
      </c>
      <c r="U318" s="44">
        <f>IF(Table1[[#This Row],[Initials]]="RM",$AE$10,IF(Table1[[#This Row],[Initials]]="JPH",$AE$11,IF(Table1[[#This Row],[Initials]]="IE",$AE$13,IF(Table1[[#This Row],[Initials]]="JM",$AE$14,1))))</f>
        <v>0.39500000000000002</v>
      </c>
      <c r="V318" s="3">
        <f>Table1[[#This Row],[FTE %]]*Table1[[#This Row],[Time Worked]]</f>
        <v>0.29625000000000001</v>
      </c>
      <c r="W3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18" s="38">
        <f t="shared" si="38"/>
        <v>46.447499999999998</v>
      </c>
      <c r="Y318" s="18">
        <f t="shared" si="39"/>
        <v>0</v>
      </c>
    </row>
    <row r="319" spans="1:25" x14ac:dyDescent="0.25">
      <c r="A319" s="10">
        <f t="shared" si="32"/>
        <v>318</v>
      </c>
      <c r="B319" s="6" t="str">
        <f t="shared" si="33"/>
        <v>71020192638JM</v>
      </c>
      <c r="C319" s="1" t="s">
        <v>967</v>
      </c>
      <c r="D319" s="1" t="s">
        <v>996</v>
      </c>
      <c r="E319" s="53" t="str">
        <f t="shared" si="34"/>
        <v>Unbilled</v>
      </c>
      <c r="F319" s="1">
        <v>2638</v>
      </c>
      <c r="G319" s="37" t="str">
        <f>VLOOKUP(Table1[[#This Row],[WO'#]],Table2[#All],2,FALSE)</f>
        <v>P&amp;M - 2nd Half 2019 (FY20)</v>
      </c>
      <c r="H319" s="20" t="s">
        <v>996</v>
      </c>
      <c r="I319" s="2">
        <v>43656</v>
      </c>
      <c r="J319" s="4">
        <f t="shared" si="35"/>
        <v>10</v>
      </c>
      <c r="K319" s="3">
        <v>0</v>
      </c>
      <c r="L319" s="3">
        <v>0.25</v>
      </c>
      <c r="M319" s="3">
        <v>0</v>
      </c>
      <c r="N319" s="3">
        <v>0</v>
      </c>
      <c r="O319" s="3">
        <v>0</v>
      </c>
      <c r="P319" s="3">
        <v>0</v>
      </c>
      <c r="Q319" s="3">
        <f t="shared" si="36"/>
        <v>0.25</v>
      </c>
      <c r="R319" s="1" t="s">
        <v>972</v>
      </c>
      <c r="S319" s="1" t="s">
        <v>23</v>
      </c>
      <c r="T319" s="3">
        <f t="shared" si="37"/>
        <v>0</v>
      </c>
      <c r="U319" s="44">
        <f>IF(Table1[[#This Row],[Initials]]="RM",$AE$10,IF(Table1[[#This Row],[Initials]]="JPH",$AE$11,IF(Table1[[#This Row],[Initials]]="IE",$AE$13,IF(Table1[[#This Row],[Initials]]="JM",$AE$14,1))))</f>
        <v>0.39500000000000002</v>
      </c>
      <c r="V319" s="3">
        <f>Table1[[#This Row],[FTE %]]*Table1[[#This Row],[Time Worked]]</f>
        <v>9.8750000000000004E-2</v>
      </c>
      <c r="W3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19" s="38">
        <f t="shared" si="38"/>
        <v>15.4825</v>
      </c>
      <c r="Y319" s="18">
        <f t="shared" si="39"/>
        <v>0</v>
      </c>
    </row>
    <row r="320" spans="1:25" x14ac:dyDescent="0.25">
      <c r="A320" s="10">
        <f t="shared" si="32"/>
        <v>319</v>
      </c>
      <c r="B320" s="6" t="str">
        <f t="shared" si="33"/>
        <v>71020192638JM</v>
      </c>
      <c r="C320" s="1" t="s">
        <v>967</v>
      </c>
      <c r="D320" s="1" t="s">
        <v>996</v>
      </c>
      <c r="E320" s="53" t="str">
        <f t="shared" si="34"/>
        <v>Unbilled</v>
      </c>
      <c r="F320" s="1">
        <v>2638</v>
      </c>
      <c r="G320" s="37" t="str">
        <f>VLOOKUP(Table1[[#This Row],[WO'#]],Table2[#All],2,FALSE)</f>
        <v>P&amp;M - 2nd Half 2019 (FY20)</v>
      </c>
      <c r="H320" s="20" t="s">
        <v>996</v>
      </c>
      <c r="I320" s="2">
        <v>43656</v>
      </c>
      <c r="J320" s="4">
        <f t="shared" si="35"/>
        <v>10</v>
      </c>
      <c r="K320" s="3">
        <v>0</v>
      </c>
      <c r="L320" s="3">
        <v>0</v>
      </c>
      <c r="M320" s="3">
        <v>0.25</v>
      </c>
      <c r="N320" s="3">
        <v>0</v>
      </c>
      <c r="O320" s="3">
        <v>0</v>
      </c>
      <c r="P320" s="3">
        <v>0</v>
      </c>
      <c r="Q320" s="3">
        <f t="shared" si="36"/>
        <v>0.25</v>
      </c>
      <c r="R320" s="1" t="s">
        <v>972</v>
      </c>
      <c r="S320" s="1" t="s">
        <v>23</v>
      </c>
      <c r="T320" s="3">
        <f t="shared" si="37"/>
        <v>0</v>
      </c>
      <c r="U320" s="44">
        <f>IF(Table1[[#This Row],[Initials]]="RM",$AE$10,IF(Table1[[#This Row],[Initials]]="JPH",$AE$11,IF(Table1[[#This Row],[Initials]]="IE",$AE$13,IF(Table1[[#This Row],[Initials]]="JM",$AE$14,1))))</f>
        <v>0.39500000000000002</v>
      </c>
      <c r="V320" s="3">
        <f>Table1[[#This Row],[FTE %]]*Table1[[#This Row],[Time Worked]]</f>
        <v>9.8750000000000004E-2</v>
      </c>
      <c r="W3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20" s="38">
        <f t="shared" si="38"/>
        <v>15.4825</v>
      </c>
      <c r="Y320" s="18">
        <f t="shared" si="39"/>
        <v>0</v>
      </c>
    </row>
    <row r="321" spans="1:25" x14ac:dyDescent="0.25">
      <c r="A321" s="10">
        <f t="shared" si="32"/>
        <v>320</v>
      </c>
      <c r="B321" s="6" t="str">
        <f t="shared" si="33"/>
        <v>71020192638JM</v>
      </c>
      <c r="C321" s="1" t="s">
        <v>967</v>
      </c>
      <c r="D321" s="1" t="s">
        <v>996</v>
      </c>
      <c r="E321" s="53" t="str">
        <f t="shared" si="34"/>
        <v>Unbilled</v>
      </c>
      <c r="F321" s="1">
        <v>2638</v>
      </c>
      <c r="G321" s="37" t="str">
        <f>VLOOKUP(Table1[[#This Row],[WO'#]],Table2[#All],2,FALSE)</f>
        <v>P&amp;M - 2nd Half 2019 (FY20)</v>
      </c>
      <c r="H321" s="20" t="s">
        <v>996</v>
      </c>
      <c r="I321" s="2">
        <v>43656</v>
      </c>
      <c r="J321" s="4">
        <f t="shared" si="35"/>
        <v>10</v>
      </c>
      <c r="K321" s="3">
        <v>0</v>
      </c>
      <c r="L321" s="3">
        <v>2.5</v>
      </c>
      <c r="M321" s="3">
        <v>0</v>
      </c>
      <c r="N321" s="3">
        <v>0</v>
      </c>
      <c r="O321" s="3">
        <v>0</v>
      </c>
      <c r="P321" s="3">
        <v>0</v>
      </c>
      <c r="Q321" s="3">
        <f t="shared" si="36"/>
        <v>2.5</v>
      </c>
      <c r="R321" s="1" t="s">
        <v>972</v>
      </c>
      <c r="S321" s="1" t="s">
        <v>23</v>
      </c>
      <c r="T321" s="3">
        <f t="shared" si="37"/>
        <v>0</v>
      </c>
      <c r="U321" s="44">
        <f>IF(Table1[[#This Row],[Initials]]="RM",$AE$10,IF(Table1[[#This Row],[Initials]]="JPH",$AE$11,IF(Table1[[#This Row],[Initials]]="IE",$AE$13,IF(Table1[[#This Row],[Initials]]="JM",$AE$14,1))))</f>
        <v>0.39500000000000002</v>
      </c>
      <c r="V321" s="3">
        <f>Table1[[#This Row],[FTE %]]*Table1[[#This Row],[Time Worked]]</f>
        <v>0.98750000000000004</v>
      </c>
      <c r="W3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321" s="38">
        <f t="shared" si="38"/>
        <v>154.82499999999999</v>
      </c>
      <c r="Y321" s="18">
        <f t="shared" si="39"/>
        <v>0</v>
      </c>
    </row>
    <row r="322" spans="1:25" x14ac:dyDescent="0.25">
      <c r="A322" s="10">
        <f t="shared" ref="A322:A385" si="40">IF(IFERROR(A321+1,1)=1,1,A321+1)</f>
        <v>321</v>
      </c>
      <c r="B322" s="6" t="str">
        <f t="shared" ref="B322:B385" si="41">IF(I322="","",CONCATENATE(MONTH(I322),DAY(I322),YEAR(I322),F322,R322))</f>
        <v>71020192638JM</v>
      </c>
      <c r="C322" s="1" t="s">
        <v>967</v>
      </c>
      <c r="D322" s="1" t="s">
        <v>996</v>
      </c>
      <c r="E322" s="53" t="str">
        <f t="shared" ref="E322:E385" si="42">IF(ISNUMBER(FIND("GR",D322)),"External",IF(C322="NB","Unbilled",IF(AND(C322="Admin",F322=2642),"Annual",IF(AND(C322="Admin",F322=2643),"Comp",IF(AND(C322="Admin",F322=2640),"FMLA",IF(AND(C322="Admin",F322=2644),"Holiday",IF(AND(C322="Admin",F322=2646),"Sick",IF(AND(C322="Admin",F322=2645),"LWOP",IF(C322="Match","Match",IF(C322="WO","Write Off","Internal"))))))))))</f>
        <v>Unbilled</v>
      </c>
      <c r="F322" s="1">
        <v>2638</v>
      </c>
      <c r="G322" s="37" t="str">
        <f>VLOOKUP(Table1[[#This Row],[WO'#]],Table2[#All],2,FALSE)</f>
        <v>P&amp;M - 2nd Half 2019 (FY20)</v>
      </c>
      <c r="H322" s="20" t="s">
        <v>996</v>
      </c>
      <c r="I322" s="2">
        <v>43656</v>
      </c>
      <c r="J322" s="4">
        <f t="shared" ref="J322:J385" si="43">IF(I322="","",DAY(I322))</f>
        <v>10</v>
      </c>
      <c r="K322" s="3">
        <v>2.25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f t="shared" ref="Q322:Q385" si="44">SUM(K322:P322)</f>
        <v>2.25</v>
      </c>
      <c r="R322" s="1" t="s">
        <v>972</v>
      </c>
      <c r="S322" s="1" t="s">
        <v>23</v>
      </c>
      <c r="T322" s="3">
        <f t="shared" ref="T322:T385" si="45">IF(R322="","",IF(OR(C322="WO",C322="Match",C322="NB",C322="Admin"),0,SUM(K322:P322)))</f>
        <v>0</v>
      </c>
      <c r="U322" s="44">
        <f>IF(Table1[[#This Row],[Initials]]="RM",$AE$10,IF(Table1[[#This Row],[Initials]]="JPH",$AE$11,IF(Table1[[#This Row],[Initials]]="IE",$AE$13,IF(Table1[[#This Row],[Initials]]="JM",$AE$14,1))))</f>
        <v>0.39500000000000002</v>
      </c>
      <c r="V322" s="3">
        <f>Table1[[#This Row],[FTE %]]*Table1[[#This Row],[Time Worked]]</f>
        <v>0.88875000000000004</v>
      </c>
      <c r="W3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322" s="38">
        <f t="shared" ref="X322:X385" si="46">IF(R322="","",IF(OR(C322="Match",C322="Write Off",C322&lt;&gt;"NB",C322="Admin"),0,IF(OR(R322="BOGD",R322="BOGC",R322="BLGDB",R322="BLGCR"),IF(AND(I322&gt;=$AE$3,I322&lt;=$AF$3),P322*$AD$3,IF(AND(I322&gt;=$AE$4,I322&lt;=$AF$4),P322*$AD$4,IF(AND(I322&gt;=$AE$5,I322&lt;=$AF$5),P322*$AD$5,IF(AND(I322&gt;=$AE$6,I322&lt;=$AF$6),P322*$AD$6,P322*$AD$7)))),IF(AND(I322&gt;=$AE$3,I322&lt;=$AF$3),Q322*$AD$3,IF(AND(I322&gt;=$AE$4,I322&lt;=$AF$4),Q322*$AD$4,IF(AND(I322&gt;=$AE$5,I322&lt;=$AF$5),Q322*$AD$5,IF(AND(I322&gt;=$AE$6,I322&lt;=$AF$6),Q322*$AD$6,Q322*$AD$7)))))))</f>
        <v>139.3425</v>
      </c>
      <c r="Y322" s="18">
        <f t="shared" ref="Y322:Y385" si="47">IF(R322="","",IF(OR(C322="Match",C322="WO",C322="NB",C322="Admin"),0,IF(OR(R322="BOGD",R322="BOGC",R322="BLGDB",R322="BLGCR"),IF(AND(I322&gt;=$AE$3,I322&lt;=$AF$3),P322*$AD$3,IF(AND(I322&gt;=$AE$4,I322&lt;=$AF$4),P322*$AD$4,IF(AND(I322&gt;=$AE$5,I322&lt;=$AF$5),P322*$AD$5,IF(AND(I322&gt;=$AE$6,I322&lt;=$AF$6),P322*$AD$6,P322*$AD$7)))),IF(AND(I322&gt;=$AE$3,I322&lt;=$AF$3),Q322*$AD$3,IF(AND(I322&gt;=$AE$4,I322&lt;=$AF$4),Q322*$AD$4,IF(AND(I322&gt;=$AE$5,I322&lt;=$AF$5),Q322*$AD$5,IF(AND(I322&gt;=$AE$6,I322&lt;=$AF$6),Q322*$AD$6,Q322*$AD$7)))))))</f>
        <v>0</v>
      </c>
    </row>
    <row r="323" spans="1:25" x14ac:dyDescent="0.25">
      <c r="A323" s="10">
        <f t="shared" si="40"/>
        <v>322</v>
      </c>
      <c r="B323" s="6" t="str">
        <f t="shared" si="41"/>
        <v>71020192638RM</v>
      </c>
      <c r="C323" s="1" t="s">
        <v>967</v>
      </c>
      <c r="D323" s="1" t="s">
        <v>996</v>
      </c>
      <c r="E323" s="1" t="str">
        <f t="shared" si="42"/>
        <v>Unbilled</v>
      </c>
      <c r="F323" s="1">
        <v>2638</v>
      </c>
      <c r="G323" s="37" t="str">
        <f>VLOOKUP(Table1[[#This Row],[WO'#]],Table2[#All],2,FALSE)</f>
        <v>P&amp;M - 2nd Half 2019 (FY20)</v>
      </c>
      <c r="H323" s="20" t="s">
        <v>996</v>
      </c>
      <c r="I323" s="2">
        <v>43656</v>
      </c>
      <c r="J323" s="4">
        <f t="shared" si="43"/>
        <v>10</v>
      </c>
      <c r="K323" s="3">
        <v>1.5</v>
      </c>
      <c r="L323" s="3">
        <v>0</v>
      </c>
      <c r="M323" s="3">
        <v>0</v>
      </c>
      <c r="N323" s="3">
        <v>0</v>
      </c>
      <c r="O323" s="3">
        <v>0</v>
      </c>
      <c r="P323" s="3">
        <v>0</v>
      </c>
      <c r="Q323" s="3">
        <f t="shared" si="44"/>
        <v>1.5</v>
      </c>
      <c r="R323" s="1" t="s">
        <v>17</v>
      </c>
      <c r="S323" s="1" t="s">
        <v>23</v>
      </c>
      <c r="T323" s="3">
        <f t="shared" si="45"/>
        <v>0</v>
      </c>
      <c r="U323" s="44">
        <f>IF(Table1[[#This Row],[Initials]]="RM",$AE$10,IF(Table1[[#This Row],[Initials]]="JPH",$AE$11,IF(Table1[[#This Row],[Initials]]="IE",$AE$13,IF(Table1[[#This Row],[Initials]]="JM",$AE$14,1))))</f>
        <v>0.5</v>
      </c>
      <c r="V323" s="3">
        <f>Table1[[#This Row],[FTE %]]*Table1[[#This Row],[Time Worked]]</f>
        <v>0.75</v>
      </c>
      <c r="W3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23" s="38">
        <f t="shared" si="46"/>
        <v>92.894999999999996</v>
      </c>
      <c r="Y323" s="18">
        <f t="shared" si="47"/>
        <v>0</v>
      </c>
    </row>
    <row r="324" spans="1:25" x14ac:dyDescent="0.25">
      <c r="A324" s="10">
        <f t="shared" si="40"/>
        <v>323</v>
      </c>
      <c r="B324" s="6" t="str">
        <f t="shared" si="41"/>
        <v>71020192638RM</v>
      </c>
      <c r="C324" s="1" t="s">
        <v>967</v>
      </c>
      <c r="D324" s="1" t="s">
        <v>996</v>
      </c>
      <c r="E324" s="1" t="str">
        <f t="shared" si="42"/>
        <v>Unbilled</v>
      </c>
      <c r="F324" s="1">
        <v>2638</v>
      </c>
      <c r="G324" s="37" t="str">
        <f>VLOOKUP(Table1[[#This Row],[WO'#]],Table2[#All],2,FALSE)</f>
        <v>P&amp;M - 2nd Half 2019 (FY20)</v>
      </c>
      <c r="H324" s="20" t="s">
        <v>996</v>
      </c>
      <c r="I324" s="2">
        <v>43656</v>
      </c>
      <c r="J324" s="4">
        <f t="shared" si="43"/>
        <v>10</v>
      </c>
      <c r="K324" s="3">
        <v>0</v>
      </c>
      <c r="L324" s="3">
        <v>0</v>
      </c>
      <c r="M324" s="3">
        <v>0</v>
      </c>
      <c r="N324" s="3">
        <v>4.5</v>
      </c>
      <c r="O324" s="3">
        <v>0</v>
      </c>
      <c r="P324" s="3">
        <v>0</v>
      </c>
      <c r="Q324" s="3">
        <f t="shared" si="44"/>
        <v>4.5</v>
      </c>
      <c r="R324" s="1" t="s">
        <v>17</v>
      </c>
      <c r="S324" s="1" t="s">
        <v>23</v>
      </c>
      <c r="T324" s="3">
        <f t="shared" si="45"/>
        <v>0</v>
      </c>
      <c r="U324" s="44">
        <f>IF(Table1[[#This Row],[Initials]]="RM",$AE$10,IF(Table1[[#This Row],[Initials]]="JPH",$AE$11,IF(Table1[[#This Row],[Initials]]="IE",$AE$13,IF(Table1[[#This Row],[Initials]]="JM",$AE$14,1))))</f>
        <v>0.5</v>
      </c>
      <c r="V324" s="3">
        <f>Table1[[#This Row],[FTE %]]*Table1[[#This Row],[Time Worked]]</f>
        <v>2.25</v>
      </c>
      <c r="W3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324" s="38">
        <f t="shared" si="46"/>
        <v>278.685</v>
      </c>
      <c r="Y324" s="18">
        <f t="shared" si="47"/>
        <v>0</v>
      </c>
    </row>
    <row r="325" spans="1:25" x14ac:dyDescent="0.25">
      <c r="A325" s="10">
        <f t="shared" si="40"/>
        <v>324</v>
      </c>
      <c r="B325" s="6" t="str">
        <f t="shared" si="41"/>
        <v>71120192638JM</v>
      </c>
      <c r="C325" s="1" t="s">
        <v>967</v>
      </c>
      <c r="D325" s="1" t="s">
        <v>996</v>
      </c>
      <c r="E325" s="53" t="str">
        <f t="shared" si="42"/>
        <v>Unbilled</v>
      </c>
      <c r="F325" s="1">
        <v>2638</v>
      </c>
      <c r="G325" s="37" t="str">
        <f>VLOOKUP(Table1[[#This Row],[WO'#]],Table2[#All],2,FALSE)</f>
        <v>P&amp;M - 2nd Half 2019 (FY20)</v>
      </c>
      <c r="H325" s="20" t="s">
        <v>996</v>
      </c>
      <c r="I325" s="2">
        <v>43657</v>
      </c>
      <c r="J325" s="4">
        <f t="shared" si="43"/>
        <v>11</v>
      </c>
      <c r="K325" s="3">
        <v>0</v>
      </c>
      <c r="L325" s="3">
        <v>0</v>
      </c>
      <c r="M325" s="3">
        <v>2</v>
      </c>
      <c r="N325" s="3">
        <v>0</v>
      </c>
      <c r="O325" s="3">
        <v>0</v>
      </c>
      <c r="P325" s="3">
        <v>0</v>
      </c>
      <c r="Q325" s="3">
        <f t="shared" si="44"/>
        <v>2</v>
      </c>
      <c r="R325" s="1" t="s">
        <v>972</v>
      </c>
      <c r="S325" s="1" t="s">
        <v>23</v>
      </c>
      <c r="T325" s="3">
        <f t="shared" si="45"/>
        <v>0</v>
      </c>
      <c r="U325" s="44">
        <f>IF(Table1[[#This Row],[Initials]]="RM",$AE$10,IF(Table1[[#This Row],[Initials]]="JPH",$AE$11,IF(Table1[[#This Row],[Initials]]="IE",$AE$13,IF(Table1[[#This Row],[Initials]]="JM",$AE$14,1))))</f>
        <v>0.39500000000000002</v>
      </c>
      <c r="V325" s="3">
        <f>Table1[[#This Row],[FTE %]]*Table1[[#This Row],[Time Worked]]</f>
        <v>0.79</v>
      </c>
      <c r="W3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25" s="38">
        <f t="shared" si="46"/>
        <v>123.86</v>
      </c>
      <c r="Y325" s="18">
        <f t="shared" si="47"/>
        <v>0</v>
      </c>
    </row>
    <row r="326" spans="1:25" x14ac:dyDescent="0.25">
      <c r="A326" s="10">
        <f t="shared" si="40"/>
        <v>325</v>
      </c>
      <c r="B326" s="6" t="str">
        <f t="shared" si="41"/>
        <v>71120192638JM</v>
      </c>
      <c r="C326" s="1" t="s">
        <v>967</v>
      </c>
      <c r="D326" s="1" t="s">
        <v>996</v>
      </c>
      <c r="E326" s="53" t="str">
        <f t="shared" si="42"/>
        <v>Unbilled</v>
      </c>
      <c r="F326" s="1">
        <v>2638</v>
      </c>
      <c r="G326" s="37" t="str">
        <f>VLOOKUP(Table1[[#This Row],[WO'#]],Table2[#All],2,FALSE)</f>
        <v>P&amp;M - 2nd Half 2019 (FY20)</v>
      </c>
      <c r="H326" s="20" t="s">
        <v>996</v>
      </c>
      <c r="I326" s="2">
        <v>43657</v>
      </c>
      <c r="J326" s="4">
        <f t="shared" si="43"/>
        <v>11</v>
      </c>
      <c r="K326" s="3">
        <v>0</v>
      </c>
      <c r="L326" s="3">
        <v>0.25</v>
      </c>
      <c r="M326" s="3">
        <v>0</v>
      </c>
      <c r="N326" s="3">
        <v>0</v>
      </c>
      <c r="O326" s="3">
        <v>0</v>
      </c>
      <c r="P326" s="3">
        <v>0</v>
      </c>
      <c r="Q326" s="3">
        <f t="shared" si="44"/>
        <v>0.25</v>
      </c>
      <c r="R326" s="1" t="s">
        <v>972</v>
      </c>
      <c r="S326" s="1" t="s">
        <v>23</v>
      </c>
      <c r="T326" s="3">
        <f t="shared" si="45"/>
        <v>0</v>
      </c>
      <c r="U326" s="44">
        <f>IF(Table1[[#This Row],[Initials]]="RM",$AE$10,IF(Table1[[#This Row],[Initials]]="JPH",$AE$11,IF(Table1[[#This Row],[Initials]]="IE",$AE$13,IF(Table1[[#This Row],[Initials]]="JM",$AE$14,1))))</f>
        <v>0.39500000000000002</v>
      </c>
      <c r="V326" s="3">
        <f>Table1[[#This Row],[FTE %]]*Table1[[#This Row],[Time Worked]]</f>
        <v>9.8750000000000004E-2</v>
      </c>
      <c r="W3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26" s="38">
        <f t="shared" si="46"/>
        <v>15.4825</v>
      </c>
      <c r="Y326" s="18">
        <f t="shared" si="47"/>
        <v>0</v>
      </c>
    </row>
    <row r="327" spans="1:25" x14ac:dyDescent="0.25">
      <c r="A327" s="10">
        <f t="shared" si="40"/>
        <v>326</v>
      </c>
      <c r="B327" s="6" t="str">
        <f t="shared" si="41"/>
        <v>71120192638JM</v>
      </c>
      <c r="C327" s="1" t="s">
        <v>967</v>
      </c>
      <c r="D327" s="1" t="s">
        <v>996</v>
      </c>
      <c r="E327" s="53" t="str">
        <f t="shared" si="42"/>
        <v>Unbilled</v>
      </c>
      <c r="F327" s="1">
        <v>2638</v>
      </c>
      <c r="G327" s="37" t="str">
        <f>VLOOKUP(Table1[[#This Row],[WO'#]],Table2[#All],2,FALSE)</f>
        <v>P&amp;M - 2nd Half 2019 (FY20)</v>
      </c>
      <c r="H327" s="20" t="s">
        <v>996</v>
      </c>
      <c r="I327" s="2">
        <v>43657</v>
      </c>
      <c r="J327" s="4">
        <f t="shared" si="43"/>
        <v>11</v>
      </c>
      <c r="K327" s="3">
        <v>4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f t="shared" si="44"/>
        <v>4</v>
      </c>
      <c r="R327" s="1" t="s">
        <v>972</v>
      </c>
      <c r="S327" s="1" t="s">
        <v>23</v>
      </c>
      <c r="T327" s="3">
        <f t="shared" si="45"/>
        <v>0</v>
      </c>
      <c r="U327" s="44">
        <f>IF(Table1[[#This Row],[Initials]]="RM",$AE$10,IF(Table1[[#This Row],[Initials]]="JPH",$AE$11,IF(Table1[[#This Row],[Initials]]="IE",$AE$13,IF(Table1[[#This Row],[Initials]]="JM",$AE$14,1))))</f>
        <v>0.39500000000000002</v>
      </c>
      <c r="V327" s="3">
        <f>Table1[[#This Row],[FTE %]]*Table1[[#This Row],[Time Worked]]</f>
        <v>1.58</v>
      </c>
      <c r="W3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327" s="38">
        <f t="shared" si="46"/>
        <v>247.72</v>
      </c>
      <c r="Y327" s="18">
        <f t="shared" si="47"/>
        <v>0</v>
      </c>
    </row>
    <row r="328" spans="1:25" x14ac:dyDescent="0.25">
      <c r="A328" s="10">
        <f t="shared" si="40"/>
        <v>327</v>
      </c>
      <c r="B328" s="6" t="str">
        <f t="shared" si="41"/>
        <v>71120192638RM</v>
      </c>
      <c r="C328" s="1" t="s">
        <v>967</v>
      </c>
      <c r="D328" s="1" t="s">
        <v>996</v>
      </c>
      <c r="E328" s="1" t="str">
        <f t="shared" si="42"/>
        <v>Unbilled</v>
      </c>
      <c r="F328" s="1">
        <v>2638</v>
      </c>
      <c r="G328" s="37" t="str">
        <f>VLOOKUP(Table1[[#This Row],[WO'#]],Table2[#All],2,FALSE)</f>
        <v>P&amp;M - 2nd Half 2019 (FY20)</v>
      </c>
      <c r="H328" s="20" t="s">
        <v>996</v>
      </c>
      <c r="I328" s="2">
        <v>43657</v>
      </c>
      <c r="J328" s="4">
        <f t="shared" si="43"/>
        <v>11</v>
      </c>
      <c r="K328" s="3">
        <v>0</v>
      </c>
      <c r="L328" s="3">
        <v>0</v>
      </c>
      <c r="M328" s="3">
        <v>0</v>
      </c>
      <c r="N328" s="3">
        <v>3</v>
      </c>
      <c r="O328" s="3">
        <v>0</v>
      </c>
      <c r="P328" s="3">
        <v>0</v>
      </c>
      <c r="Q328" s="3">
        <f t="shared" si="44"/>
        <v>3</v>
      </c>
      <c r="R328" s="1" t="s">
        <v>17</v>
      </c>
      <c r="S328" s="1" t="s">
        <v>23</v>
      </c>
      <c r="T328" s="3">
        <f t="shared" si="45"/>
        <v>0</v>
      </c>
      <c r="U328" s="44">
        <f>IF(Table1[[#This Row],[Initials]]="RM",$AE$10,IF(Table1[[#This Row],[Initials]]="JPH",$AE$11,IF(Table1[[#This Row],[Initials]]="IE",$AE$13,IF(Table1[[#This Row],[Initials]]="JM",$AE$14,1))))</f>
        <v>0.5</v>
      </c>
      <c r="V328" s="3">
        <f>Table1[[#This Row],[FTE %]]*Table1[[#This Row],[Time Worked]]</f>
        <v>1.5</v>
      </c>
      <c r="W3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328" s="38">
        <f t="shared" si="46"/>
        <v>185.79</v>
      </c>
      <c r="Y328" s="18">
        <f t="shared" si="47"/>
        <v>0</v>
      </c>
    </row>
    <row r="329" spans="1:25" x14ac:dyDescent="0.25">
      <c r="A329" s="10">
        <f t="shared" si="40"/>
        <v>328</v>
      </c>
      <c r="B329" s="6" t="str">
        <f t="shared" si="41"/>
        <v>71220192638IE</v>
      </c>
      <c r="C329" s="1" t="s">
        <v>967</v>
      </c>
      <c r="D329" s="1" t="s">
        <v>996</v>
      </c>
      <c r="E329" s="1" t="str">
        <f t="shared" si="42"/>
        <v>Unbilled</v>
      </c>
      <c r="F329" s="1">
        <v>2638</v>
      </c>
      <c r="G329" s="37" t="str">
        <f>VLOOKUP(Table1[[#This Row],[WO'#]],Table2[#All],2,FALSE)</f>
        <v>P&amp;M - 2nd Half 2019 (FY20)</v>
      </c>
      <c r="H329" s="20" t="s">
        <v>996</v>
      </c>
      <c r="I329" s="2">
        <v>43658</v>
      </c>
      <c r="J329" s="4">
        <f t="shared" si="43"/>
        <v>12</v>
      </c>
      <c r="K329" s="3">
        <v>0.25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f t="shared" si="44"/>
        <v>0.25</v>
      </c>
      <c r="R329" s="1" t="s">
        <v>971</v>
      </c>
      <c r="S329" s="1" t="s">
        <v>23</v>
      </c>
      <c r="T329" s="3">
        <f t="shared" si="45"/>
        <v>0</v>
      </c>
      <c r="U329" s="44">
        <f>IF(Table1[[#This Row],[Initials]]="RM",$AE$10,IF(Table1[[#This Row],[Initials]]="JPH",$AE$11,IF(Table1[[#This Row],[Initials]]="IE",$AE$13,IF(Table1[[#This Row],[Initials]]="JM",$AE$14,1))))</f>
        <v>1</v>
      </c>
      <c r="V329" s="3">
        <f>Table1[[#This Row],[FTE %]]*Table1[[#This Row],[Time Worked]]</f>
        <v>0.25</v>
      </c>
      <c r="W3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29" s="38">
        <f t="shared" si="46"/>
        <v>15.4825</v>
      </c>
      <c r="Y329" s="18">
        <f t="shared" si="47"/>
        <v>0</v>
      </c>
    </row>
    <row r="330" spans="1:25" x14ac:dyDescent="0.25">
      <c r="A330" s="10">
        <f t="shared" si="40"/>
        <v>329</v>
      </c>
      <c r="B330" s="6" t="str">
        <f t="shared" si="41"/>
        <v>71220192638JM</v>
      </c>
      <c r="C330" s="1" t="s">
        <v>967</v>
      </c>
      <c r="D330" s="1" t="s">
        <v>996</v>
      </c>
      <c r="E330" s="53" t="str">
        <f t="shared" si="42"/>
        <v>Unbilled</v>
      </c>
      <c r="F330" s="1">
        <v>2638</v>
      </c>
      <c r="G330" s="37" t="str">
        <f>VLOOKUP(Table1[[#This Row],[WO'#]],Table2[#All],2,FALSE)</f>
        <v>P&amp;M - 2nd Half 2019 (FY20)</v>
      </c>
      <c r="H330" s="20" t="s">
        <v>996</v>
      </c>
      <c r="I330" s="2">
        <v>43658</v>
      </c>
      <c r="J330" s="4">
        <f t="shared" si="43"/>
        <v>12</v>
      </c>
      <c r="K330" s="3">
        <v>9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f t="shared" si="44"/>
        <v>9</v>
      </c>
      <c r="R330" s="1" t="s">
        <v>972</v>
      </c>
      <c r="S330" s="1" t="s">
        <v>23</v>
      </c>
      <c r="T330" s="3">
        <f t="shared" si="45"/>
        <v>0</v>
      </c>
      <c r="U330" s="44">
        <f>IF(Table1[[#This Row],[Initials]]="RM",$AE$10,IF(Table1[[#This Row],[Initials]]="JPH",$AE$11,IF(Table1[[#This Row],[Initials]]="IE",$AE$13,IF(Table1[[#This Row],[Initials]]="JM",$AE$14,1))))</f>
        <v>0.39500000000000002</v>
      </c>
      <c r="V330" s="3">
        <f>Table1[[#This Row],[FTE %]]*Table1[[#This Row],[Time Worked]]</f>
        <v>3.5550000000000002</v>
      </c>
      <c r="W3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330" s="38">
        <f t="shared" si="46"/>
        <v>557.37</v>
      </c>
      <c r="Y330" s="18">
        <f t="shared" si="47"/>
        <v>0</v>
      </c>
    </row>
    <row r="331" spans="1:25" x14ac:dyDescent="0.25">
      <c r="A331" s="10">
        <f t="shared" si="40"/>
        <v>330</v>
      </c>
      <c r="B331" s="6" t="str">
        <f t="shared" si="41"/>
        <v>71220192638RM</v>
      </c>
      <c r="C331" s="1" t="s">
        <v>967</v>
      </c>
      <c r="D331" s="1" t="s">
        <v>996</v>
      </c>
      <c r="E331" s="53" t="str">
        <f t="shared" si="42"/>
        <v>Unbilled</v>
      </c>
      <c r="F331" s="1">
        <v>2638</v>
      </c>
      <c r="G331" s="37" t="str">
        <f>VLOOKUP(Table1[[#This Row],[WO'#]],Table2[#All],2,FALSE)</f>
        <v>P&amp;M - 2nd Half 2019 (FY20)</v>
      </c>
      <c r="H331" s="20" t="s">
        <v>996</v>
      </c>
      <c r="I331" s="2">
        <v>43658</v>
      </c>
      <c r="J331" s="4">
        <f t="shared" si="43"/>
        <v>12</v>
      </c>
      <c r="K331" s="3">
        <v>0</v>
      </c>
      <c r="L331" s="3">
        <v>0</v>
      </c>
      <c r="M331" s="3">
        <v>0</v>
      </c>
      <c r="N331" s="3">
        <v>1</v>
      </c>
      <c r="O331" s="3">
        <v>0</v>
      </c>
      <c r="P331" s="3">
        <v>0</v>
      </c>
      <c r="Q331" s="3">
        <f t="shared" si="44"/>
        <v>1</v>
      </c>
      <c r="R331" s="1" t="s">
        <v>17</v>
      </c>
      <c r="S331" s="1" t="s">
        <v>23</v>
      </c>
      <c r="T331" s="3">
        <f t="shared" si="45"/>
        <v>0</v>
      </c>
      <c r="U331" s="44">
        <f>IF(Table1[[#This Row],[Initials]]="RM",$AE$10,IF(Table1[[#This Row],[Initials]]="JPH",$AE$11,IF(Table1[[#This Row],[Initials]]="IE",$AE$13,IF(Table1[[#This Row],[Initials]]="JM",$AE$14,1))))</f>
        <v>0.5</v>
      </c>
      <c r="V331" s="3">
        <f>Table1[[#This Row],[FTE %]]*Table1[[#This Row],[Time Worked]]</f>
        <v>0.5</v>
      </c>
      <c r="W3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31" s="38">
        <f t="shared" si="46"/>
        <v>61.93</v>
      </c>
      <c r="Y331" s="18">
        <f t="shared" si="47"/>
        <v>0</v>
      </c>
    </row>
    <row r="332" spans="1:25" x14ac:dyDescent="0.25">
      <c r="A332" s="10">
        <f t="shared" si="40"/>
        <v>331</v>
      </c>
      <c r="B332" s="6" t="str">
        <f t="shared" si="41"/>
        <v>71420192638JM</v>
      </c>
      <c r="C332" s="1" t="s">
        <v>967</v>
      </c>
      <c r="D332" s="1" t="s">
        <v>996</v>
      </c>
      <c r="E332" s="53" t="str">
        <f t="shared" si="42"/>
        <v>Unbilled</v>
      </c>
      <c r="F332" s="1">
        <v>2638</v>
      </c>
      <c r="G332" s="37" t="str">
        <f>VLOOKUP(Table1[[#This Row],[WO'#]],Table2[#All],2,FALSE)</f>
        <v>P&amp;M - 2nd Half 2019 (FY20)</v>
      </c>
      <c r="H332" s="20" t="s">
        <v>996</v>
      </c>
      <c r="I332" s="2">
        <v>43660</v>
      </c>
      <c r="J332" s="4">
        <f t="shared" si="43"/>
        <v>14</v>
      </c>
      <c r="K332" s="3">
        <v>6.5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f t="shared" si="44"/>
        <v>6.5</v>
      </c>
      <c r="R332" s="1" t="s">
        <v>972</v>
      </c>
      <c r="S332" s="1" t="s">
        <v>23</v>
      </c>
      <c r="T332" s="3">
        <f t="shared" si="45"/>
        <v>0</v>
      </c>
      <c r="U332" s="44">
        <f>IF(Table1[[#This Row],[Initials]]="RM",$AE$10,IF(Table1[[#This Row],[Initials]]="JPH",$AE$11,IF(Table1[[#This Row],[Initials]]="IE",$AE$13,IF(Table1[[#This Row],[Initials]]="JM",$AE$14,1))))</f>
        <v>0.39500000000000002</v>
      </c>
      <c r="V332" s="3">
        <f>Table1[[#This Row],[FTE %]]*Table1[[#This Row],[Time Worked]]</f>
        <v>2.5674999999999999</v>
      </c>
      <c r="W3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402.54500000000002</v>
      </c>
      <c r="X332" s="38">
        <f t="shared" si="46"/>
        <v>402.54500000000002</v>
      </c>
      <c r="Y332" s="18">
        <f t="shared" si="47"/>
        <v>0</v>
      </c>
    </row>
    <row r="333" spans="1:25" x14ac:dyDescent="0.25">
      <c r="A333" s="10">
        <f t="shared" si="40"/>
        <v>332</v>
      </c>
      <c r="B333" s="6" t="str">
        <f t="shared" si="41"/>
        <v>71520192638IE</v>
      </c>
      <c r="C333" s="1" t="s">
        <v>967</v>
      </c>
      <c r="D333" s="1" t="s">
        <v>996</v>
      </c>
      <c r="E333" s="53" t="str">
        <f t="shared" si="42"/>
        <v>Unbilled</v>
      </c>
      <c r="F333" s="1">
        <v>2638</v>
      </c>
      <c r="G333" s="37" t="str">
        <f>VLOOKUP(Table1[[#This Row],[WO'#]],Table2[#All],2,FALSE)</f>
        <v>P&amp;M - 2nd Half 2019 (FY20)</v>
      </c>
      <c r="H333" s="20" t="s">
        <v>996</v>
      </c>
      <c r="I333" s="2">
        <v>43661</v>
      </c>
      <c r="J333" s="4">
        <f t="shared" si="43"/>
        <v>15</v>
      </c>
      <c r="K333" s="3">
        <v>0.5</v>
      </c>
      <c r="L333" s="3">
        <v>0</v>
      </c>
      <c r="M333" s="3">
        <v>0</v>
      </c>
      <c r="N333" s="3">
        <v>0</v>
      </c>
      <c r="O333" s="3">
        <v>0</v>
      </c>
      <c r="P333" s="3">
        <v>0</v>
      </c>
      <c r="Q333" s="3">
        <f t="shared" si="44"/>
        <v>0.5</v>
      </c>
      <c r="R333" s="1" t="s">
        <v>971</v>
      </c>
      <c r="S333" s="1" t="s">
        <v>23</v>
      </c>
      <c r="T333" s="3">
        <f t="shared" si="45"/>
        <v>0</v>
      </c>
      <c r="U333" s="44">
        <f>IF(Table1[[#This Row],[Initials]]="RM",$AE$10,IF(Table1[[#This Row],[Initials]]="JPH",$AE$11,IF(Table1[[#This Row],[Initials]]="IE",$AE$13,IF(Table1[[#This Row],[Initials]]="JM",$AE$14,1))))</f>
        <v>1</v>
      </c>
      <c r="V333" s="3">
        <f>Table1[[#This Row],[FTE %]]*Table1[[#This Row],[Time Worked]]</f>
        <v>0.5</v>
      </c>
      <c r="W3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33" s="38">
        <f t="shared" si="46"/>
        <v>30.965</v>
      </c>
      <c r="Y333" s="18">
        <f t="shared" si="47"/>
        <v>0</v>
      </c>
    </row>
    <row r="334" spans="1:25" x14ac:dyDescent="0.25">
      <c r="A334" s="10">
        <f t="shared" si="40"/>
        <v>333</v>
      </c>
      <c r="B334" s="6" t="str">
        <f t="shared" si="41"/>
        <v>71520192638RM</v>
      </c>
      <c r="C334" s="1" t="s">
        <v>967</v>
      </c>
      <c r="D334" s="1" t="s">
        <v>996</v>
      </c>
      <c r="E334" s="53" t="str">
        <f t="shared" si="42"/>
        <v>Unbilled</v>
      </c>
      <c r="F334" s="1">
        <v>2638</v>
      </c>
      <c r="G334" s="37" t="str">
        <f>VLOOKUP(Table1[[#This Row],[WO'#]],Table2[#All],2,FALSE)</f>
        <v>P&amp;M - 2nd Half 2019 (FY20)</v>
      </c>
      <c r="H334" s="20" t="s">
        <v>996</v>
      </c>
      <c r="I334" s="2">
        <v>43661</v>
      </c>
      <c r="J334" s="4">
        <f t="shared" si="43"/>
        <v>15</v>
      </c>
      <c r="K334" s="3">
        <v>0</v>
      </c>
      <c r="L334" s="3">
        <v>0</v>
      </c>
      <c r="M334" s="3">
        <v>0</v>
      </c>
      <c r="N334" s="3">
        <v>2</v>
      </c>
      <c r="O334" s="3">
        <v>0</v>
      </c>
      <c r="P334" s="3">
        <v>0</v>
      </c>
      <c r="Q334" s="3">
        <f t="shared" si="44"/>
        <v>2</v>
      </c>
      <c r="R334" s="1" t="s">
        <v>17</v>
      </c>
      <c r="S334" s="1" t="s">
        <v>23</v>
      </c>
      <c r="T334" s="3">
        <f t="shared" si="45"/>
        <v>0</v>
      </c>
      <c r="U334" s="44">
        <f>IF(Table1[[#This Row],[Initials]]="RM",$AE$10,IF(Table1[[#This Row],[Initials]]="JPH",$AE$11,IF(Table1[[#This Row],[Initials]]="IE",$AE$13,IF(Table1[[#This Row],[Initials]]="JM",$AE$14,1))))</f>
        <v>0.5</v>
      </c>
      <c r="V334" s="3">
        <f>Table1[[#This Row],[FTE %]]*Table1[[#This Row],[Time Worked]]</f>
        <v>1</v>
      </c>
      <c r="W3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34" s="38">
        <f t="shared" si="46"/>
        <v>123.86</v>
      </c>
      <c r="Y334" s="18">
        <f t="shared" si="47"/>
        <v>0</v>
      </c>
    </row>
    <row r="335" spans="1:25" x14ac:dyDescent="0.25">
      <c r="A335" s="10">
        <f t="shared" si="40"/>
        <v>334</v>
      </c>
      <c r="B335" s="6" t="str">
        <f t="shared" si="41"/>
        <v>71520192638RM</v>
      </c>
      <c r="C335" s="1" t="s">
        <v>967</v>
      </c>
      <c r="D335" s="1" t="s">
        <v>996</v>
      </c>
      <c r="E335" s="53" t="str">
        <f t="shared" si="42"/>
        <v>Unbilled</v>
      </c>
      <c r="F335" s="1">
        <v>2638</v>
      </c>
      <c r="G335" s="37" t="str">
        <f>VLOOKUP(Table1[[#This Row],[WO'#]],Table2[#All],2,FALSE)</f>
        <v>P&amp;M - 2nd Half 2019 (FY20)</v>
      </c>
      <c r="H335" s="20" t="s">
        <v>996</v>
      </c>
      <c r="I335" s="2">
        <v>43661</v>
      </c>
      <c r="J335" s="4">
        <f t="shared" si="43"/>
        <v>15</v>
      </c>
      <c r="K335" s="3">
        <v>0.5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f t="shared" si="44"/>
        <v>0.5</v>
      </c>
      <c r="R335" s="1" t="s">
        <v>17</v>
      </c>
      <c r="S335" s="1" t="s">
        <v>23</v>
      </c>
      <c r="T335" s="3">
        <f t="shared" si="45"/>
        <v>0</v>
      </c>
      <c r="U335" s="44">
        <f>IF(Table1[[#This Row],[Initials]]="RM",$AE$10,IF(Table1[[#This Row],[Initials]]="JPH",$AE$11,IF(Table1[[#This Row],[Initials]]="IE",$AE$13,IF(Table1[[#This Row],[Initials]]="JM",$AE$14,1))))</f>
        <v>0.5</v>
      </c>
      <c r="V335" s="3">
        <f>Table1[[#This Row],[FTE %]]*Table1[[#This Row],[Time Worked]]</f>
        <v>0.25</v>
      </c>
      <c r="W3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35" s="38">
        <f t="shared" si="46"/>
        <v>30.965</v>
      </c>
      <c r="Y335" s="18">
        <f t="shared" si="47"/>
        <v>0</v>
      </c>
    </row>
    <row r="336" spans="1:25" x14ac:dyDescent="0.25">
      <c r="A336" s="10">
        <f t="shared" si="40"/>
        <v>335</v>
      </c>
      <c r="B336" s="6" t="str">
        <f t="shared" si="41"/>
        <v>71620192638IE</v>
      </c>
      <c r="C336" s="1" t="s">
        <v>967</v>
      </c>
      <c r="D336" s="1" t="s">
        <v>996</v>
      </c>
      <c r="E336" s="53" t="str">
        <f t="shared" si="42"/>
        <v>Unbilled</v>
      </c>
      <c r="F336" s="1">
        <v>2638</v>
      </c>
      <c r="G336" s="37" t="str">
        <f>VLOOKUP(Table1[[#This Row],[WO'#]],Table2[#All],2,FALSE)</f>
        <v>P&amp;M - 2nd Half 2019 (FY20)</v>
      </c>
      <c r="H336" s="20" t="s">
        <v>996</v>
      </c>
      <c r="I336" s="2">
        <v>43662</v>
      </c>
      <c r="J336" s="4">
        <f t="shared" si="43"/>
        <v>16</v>
      </c>
      <c r="K336" s="3">
        <v>0.25</v>
      </c>
      <c r="L336" s="3">
        <v>0</v>
      </c>
      <c r="M336" s="3">
        <v>0</v>
      </c>
      <c r="N336" s="3">
        <v>0</v>
      </c>
      <c r="O336" s="3">
        <v>0</v>
      </c>
      <c r="P336" s="3">
        <v>0</v>
      </c>
      <c r="Q336" s="3">
        <f t="shared" si="44"/>
        <v>0.25</v>
      </c>
      <c r="R336" s="1" t="s">
        <v>971</v>
      </c>
      <c r="S336" s="1" t="s">
        <v>23</v>
      </c>
      <c r="T336" s="3">
        <f t="shared" si="45"/>
        <v>0</v>
      </c>
      <c r="U336" s="44">
        <f>IF(Table1[[#This Row],[Initials]]="RM",$AE$10,IF(Table1[[#This Row],[Initials]]="JPH",$AE$11,IF(Table1[[#This Row],[Initials]]="IE",$AE$13,IF(Table1[[#This Row],[Initials]]="JM",$AE$14,1))))</f>
        <v>1</v>
      </c>
      <c r="V336" s="3">
        <f>Table1[[#This Row],[FTE %]]*Table1[[#This Row],[Time Worked]]</f>
        <v>0.25</v>
      </c>
      <c r="W3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36" s="38">
        <f t="shared" si="46"/>
        <v>15.4825</v>
      </c>
      <c r="Y336" s="18">
        <f t="shared" si="47"/>
        <v>0</v>
      </c>
    </row>
    <row r="337" spans="1:25" x14ac:dyDescent="0.25">
      <c r="A337" s="10">
        <f t="shared" si="40"/>
        <v>336</v>
      </c>
      <c r="B337" s="6" t="str">
        <f t="shared" si="41"/>
        <v>71620192638JM</v>
      </c>
      <c r="C337" s="1" t="s">
        <v>967</v>
      </c>
      <c r="D337" s="1" t="s">
        <v>996</v>
      </c>
      <c r="E337" s="53" t="str">
        <f t="shared" si="42"/>
        <v>Unbilled</v>
      </c>
      <c r="F337" s="1">
        <v>2638</v>
      </c>
      <c r="G337" s="37" t="str">
        <f>VLOOKUP(Table1[[#This Row],[WO'#]],Table2[#All],2,FALSE)</f>
        <v>P&amp;M - 2nd Half 2019 (FY20)</v>
      </c>
      <c r="H337" s="20" t="s">
        <v>996</v>
      </c>
      <c r="I337" s="2">
        <v>43662</v>
      </c>
      <c r="J337" s="4">
        <f t="shared" si="43"/>
        <v>16</v>
      </c>
      <c r="K337" s="3">
        <v>8.75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f t="shared" si="44"/>
        <v>8.75</v>
      </c>
      <c r="R337" s="1" t="s">
        <v>972</v>
      </c>
      <c r="S337" s="1" t="s">
        <v>23</v>
      </c>
      <c r="T337" s="3">
        <f t="shared" si="45"/>
        <v>0</v>
      </c>
      <c r="U337" s="44">
        <f>IF(Table1[[#This Row],[Initials]]="RM",$AE$10,IF(Table1[[#This Row],[Initials]]="JPH",$AE$11,IF(Table1[[#This Row],[Initials]]="IE",$AE$13,IF(Table1[[#This Row],[Initials]]="JM",$AE$14,1))))</f>
        <v>0.39500000000000002</v>
      </c>
      <c r="V337" s="3">
        <f>Table1[[#This Row],[FTE %]]*Table1[[#This Row],[Time Worked]]</f>
        <v>3.4562500000000003</v>
      </c>
      <c r="W3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541.88750000000005</v>
      </c>
      <c r="X337" s="38">
        <f t="shared" si="46"/>
        <v>541.88750000000005</v>
      </c>
      <c r="Y337" s="18">
        <f t="shared" si="47"/>
        <v>0</v>
      </c>
    </row>
    <row r="338" spans="1:25" x14ac:dyDescent="0.25">
      <c r="A338" s="10">
        <f t="shared" si="40"/>
        <v>337</v>
      </c>
      <c r="B338" s="6" t="str">
        <f t="shared" si="41"/>
        <v>71620192638RM</v>
      </c>
      <c r="C338" s="1" t="s">
        <v>967</v>
      </c>
      <c r="D338" s="1" t="s">
        <v>996</v>
      </c>
      <c r="E338" s="53" t="str">
        <f t="shared" si="42"/>
        <v>Unbilled</v>
      </c>
      <c r="F338" s="1">
        <v>2638</v>
      </c>
      <c r="G338" s="37" t="str">
        <f>VLOOKUP(Table1[[#This Row],[WO'#]],Table2[#All],2,FALSE)</f>
        <v>P&amp;M - 2nd Half 2019 (FY20)</v>
      </c>
      <c r="H338" s="20" t="s">
        <v>996</v>
      </c>
      <c r="I338" s="2">
        <v>43662</v>
      </c>
      <c r="J338" s="4">
        <f t="shared" si="43"/>
        <v>16</v>
      </c>
      <c r="K338" s="3">
        <v>0.5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f t="shared" si="44"/>
        <v>0.5</v>
      </c>
      <c r="R338" s="1" t="s">
        <v>17</v>
      </c>
      <c r="S338" s="1" t="s">
        <v>23</v>
      </c>
      <c r="T338" s="3">
        <f t="shared" si="45"/>
        <v>0</v>
      </c>
      <c r="U338" s="44">
        <f>IF(Table1[[#This Row],[Initials]]="RM",$AE$10,IF(Table1[[#This Row],[Initials]]="JPH",$AE$11,IF(Table1[[#This Row],[Initials]]="IE",$AE$13,IF(Table1[[#This Row],[Initials]]="JM",$AE$14,1))))</f>
        <v>0.5</v>
      </c>
      <c r="V338" s="3">
        <f>Table1[[#This Row],[FTE %]]*Table1[[#This Row],[Time Worked]]</f>
        <v>0.25</v>
      </c>
      <c r="W3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38" s="38">
        <f t="shared" si="46"/>
        <v>30.965</v>
      </c>
      <c r="Y338" s="18">
        <f t="shared" si="47"/>
        <v>0</v>
      </c>
    </row>
    <row r="339" spans="1:25" x14ac:dyDescent="0.25">
      <c r="A339" s="10">
        <f t="shared" si="40"/>
        <v>338</v>
      </c>
      <c r="B339" s="6" t="str">
        <f t="shared" si="41"/>
        <v>71720192638JM</v>
      </c>
      <c r="C339" s="1" t="s">
        <v>967</v>
      </c>
      <c r="D339" s="1" t="s">
        <v>996</v>
      </c>
      <c r="E339" s="53" t="str">
        <f t="shared" si="42"/>
        <v>Unbilled</v>
      </c>
      <c r="F339" s="1">
        <v>2638</v>
      </c>
      <c r="G339" s="37" t="str">
        <f>VLOOKUP(Table1[[#This Row],[WO'#]],Table2[#All],2,FALSE)</f>
        <v>P&amp;M - 2nd Half 2019 (FY20)</v>
      </c>
      <c r="H339" s="20" t="s">
        <v>996</v>
      </c>
      <c r="I339" s="2">
        <v>43663</v>
      </c>
      <c r="J339" s="4">
        <f t="shared" si="43"/>
        <v>17</v>
      </c>
      <c r="K339" s="3">
        <v>8.25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f t="shared" si="44"/>
        <v>8.25</v>
      </c>
      <c r="R339" s="1" t="s">
        <v>972</v>
      </c>
      <c r="S339" s="1" t="s">
        <v>23</v>
      </c>
      <c r="T339" s="3">
        <f t="shared" si="45"/>
        <v>0</v>
      </c>
      <c r="U339" s="44">
        <f>IF(Table1[[#This Row],[Initials]]="RM",$AE$10,IF(Table1[[#This Row],[Initials]]="JPH",$AE$11,IF(Table1[[#This Row],[Initials]]="IE",$AE$13,IF(Table1[[#This Row],[Initials]]="JM",$AE$14,1))))</f>
        <v>0.39500000000000002</v>
      </c>
      <c r="V339" s="3">
        <f>Table1[[#This Row],[FTE %]]*Table1[[#This Row],[Time Worked]]</f>
        <v>3.25875</v>
      </c>
      <c r="W3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510.92250000000001</v>
      </c>
      <c r="X339" s="38">
        <f t="shared" si="46"/>
        <v>510.92250000000001</v>
      </c>
      <c r="Y339" s="18">
        <f t="shared" si="47"/>
        <v>0</v>
      </c>
    </row>
    <row r="340" spans="1:25" x14ac:dyDescent="0.25">
      <c r="A340" s="10">
        <f t="shared" si="40"/>
        <v>339</v>
      </c>
      <c r="B340" s="6" t="str">
        <f t="shared" si="41"/>
        <v>71720192638RM</v>
      </c>
      <c r="C340" s="1" t="s">
        <v>967</v>
      </c>
      <c r="D340" s="1" t="s">
        <v>996</v>
      </c>
      <c r="E340" s="53" t="str">
        <f t="shared" si="42"/>
        <v>Unbilled</v>
      </c>
      <c r="F340" s="1">
        <v>2638</v>
      </c>
      <c r="G340" s="37" t="str">
        <f>VLOOKUP(Table1[[#This Row],[WO'#]],Table2[#All],2,FALSE)</f>
        <v>P&amp;M - 2nd Half 2019 (FY20)</v>
      </c>
      <c r="H340" s="20" t="s">
        <v>996</v>
      </c>
      <c r="I340" s="2">
        <v>43663</v>
      </c>
      <c r="J340" s="4">
        <f t="shared" si="43"/>
        <v>17</v>
      </c>
      <c r="K340" s="3">
        <v>0.5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f t="shared" si="44"/>
        <v>0.5</v>
      </c>
      <c r="R340" s="1" t="s">
        <v>17</v>
      </c>
      <c r="S340" s="1" t="s">
        <v>23</v>
      </c>
      <c r="T340" s="3">
        <f t="shared" si="45"/>
        <v>0</v>
      </c>
      <c r="U340" s="44">
        <f>IF(Table1[[#This Row],[Initials]]="RM",$AE$10,IF(Table1[[#This Row],[Initials]]="JPH",$AE$11,IF(Table1[[#This Row],[Initials]]="IE",$AE$13,IF(Table1[[#This Row],[Initials]]="JM",$AE$14,1))))</f>
        <v>0.5</v>
      </c>
      <c r="V340" s="3">
        <f>Table1[[#This Row],[FTE %]]*Table1[[#This Row],[Time Worked]]</f>
        <v>0.25</v>
      </c>
      <c r="W3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40" s="38">
        <f t="shared" si="46"/>
        <v>30.965</v>
      </c>
      <c r="Y340" s="18">
        <f t="shared" si="47"/>
        <v>0</v>
      </c>
    </row>
    <row r="341" spans="1:25" x14ac:dyDescent="0.25">
      <c r="A341" s="10">
        <f t="shared" si="40"/>
        <v>340</v>
      </c>
      <c r="B341" s="6" t="str">
        <f t="shared" si="41"/>
        <v>71820192638JM</v>
      </c>
      <c r="C341" s="1" t="s">
        <v>967</v>
      </c>
      <c r="D341" s="1" t="s">
        <v>996</v>
      </c>
      <c r="E341" s="53" t="str">
        <f t="shared" si="42"/>
        <v>Unbilled</v>
      </c>
      <c r="F341" s="1">
        <v>2638</v>
      </c>
      <c r="G341" s="37" t="str">
        <f>VLOOKUP(Table1[[#This Row],[WO'#]],Table2[#All],2,FALSE)</f>
        <v>P&amp;M - 2nd Half 2019 (FY20)</v>
      </c>
      <c r="H341" s="20" t="s">
        <v>996</v>
      </c>
      <c r="I341" s="2">
        <v>43664</v>
      </c>
      <c r="J341" s="4">
        <f t="shared" si="43"/>
        <v>18</v>
      </c>
      <c r="K341" s="3">
        <v>0</v>
      </c>
      <c r="L341" s="3">
        <v>0</v>
      </c>
      <c r="M341" s="3">
        <v>2.25</v>
      </c>
      <c r="N341" s="3">
        <v>0</v>
      </c>
      <c r="O341" s="3">
        <v>0</v>
      </c>
      <c r="P341" s="3">
        <v>0</v>
      </c>
      <c r="Q341" s="3">
        <f t="shared" si="44"/>
        <v>2.25</v>
      </c>
      <c r="R341" s="1" t="s">
        <v>972</v>
      </c>
      <c r="S341" s="1" t="s">
        <v>23</v>
      </c>
      <c r="T341" s="3">
        <f t="shared" si="45"/>
        <v>0</v>
      </c>
      <c r="U341" s="44">
        <f>IF(Table1[[#This Row],[Initials]]="RM",$AE$10,IF(Table1[[#This Row],[Initials]]="JPH",$AE$11,IF(Table1[[#This Row],[Initials]]="IE",$AE$13,IF(Table1[[#This Row],[Initials]]="JM",$AE$14,1))))</f>
        <v>0.39500000000000002</v>
      </c>
      <c r="V341" s="3">
        <f>Table1[[#This Row],[FTE %]]*Table1[[#This Row],[Time Worked]]</f>
        <v>0.88875000000000004</v>
      </c>
      <c r="W3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341" s="38">
        <f t="shared" si="46"/>
        <v>139.3425</v>
      </c>
      <c r="Y341" s="18">
        <f t="shared" si="47"/>
        <v>0</v>
      </c>
    </row>
    <row r="342" spans="1:25" x14ac:dyDescent="0.25">
      <c r="A342" s="10">
        <f t="shared" si="40"/>
        <v>341</v>
      </c>
      <c r="B342" s="6" t="str">
        <f t="shared" si="41"/>
        <v>71820192638JM</v>
      </c>
      <c r="C342" s="1" t="s">
        <v>967</v>
      </c>
      <c r="D342" s="1" t="s">
        <v>996</v>
      </c>
      <c r="E342" s="53" t="str">
        <f t="shared" si="42"/>
        <v>Unbilled</v>
      </c>
      <c r="F342" s="1">
        <v>2638</v>
      </c>
      <c r="G342" s="37" t="str">
        <f>VLOOKUP(Table1[[#This Row],[WO'#]],Table2[#All],2,FALSE)</f>
        <v>P&amp;M - 2nd Half 2019 (FY20)</v>
      </c>
      <c r="H342" s="20" t="s">
        <v>996</v>
      </c>
      <c r="I342" s="2">
        <v>43664</v>
      </c>
      <c r="J342" s="4">
        <f t="shared" si="43"/>
        <v>18</v>
      </c>
      <c r="K342" s="3">
        <v>5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f t="shared" si="44"/>
        <v>5</v>
      </c>
      <c r="R342" s="1" t="s">
        <v>972</v>
      </c>
      <c r="S342" s="1" t="s">
        <v>23</v>
      </c>
      <c r="T342" s="3">
        <f t="shared" si="45"/>
        <v>0</v>
      </c>
      <c r="U342" s="44">
        <f>IF(Table1[[#This Row],[Initials]]="RM",$AE$10,IF(Table1[[#This Row],[Initials]]="JPH",$AE$11,IF(Table1[[#This Row],[Initials]]="IE",$AE$13,IF(Table1[[#This Row],[Initials]]="JM",$AE$14,1))))</f>
        <v>0.39500000000000002</v>
      </c>
      <c r="V342" s="3">
        <f>Table1[[#This Row],[FTE %]]*Table1[[#This Row],[Time Worked]]</f>
        <v>1.9750000000000001</v>
      </c>
      <c r="W3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342" s="38">
        <f t="shared" si="46"/>
        <v>309.64999999999998</v>
      </c>
      <c r="Y342" s="18">
        <f t="shared" si="47"/>
        <v>0</v>
      </c>
    </row>
    <row r="343" spans="1:25" x14ac:dyDescent="0.25">
      <c r="A343" s="10">
        <f t="shared" si="40"/>
        <v>342</v>
      </c>
      <c r="B343" s="6" t="str">
        <f t="shared" si="41"/>
        <v>71820192638JPH</v>
      </c>
      <c r="C343" s="1" t="s">
        <v>967</v>
      </c>
      <c r="D343" s="1" t="s">
        <v>996</v>
      </c>
      <c r="E343" s="53" t="str">
        <f t="shared" si="42"/>
        <v>Unbilled</v>
      </c>
      <c r="F343" s="1">
        <v>2638</v>
      </c>
      <c r="G343" s="37" t="str">
        <f>VLOOKUP(Table1[[#This Row],[WO'#]],Table2[#All],2,FALSE)</f>
        <v>P&amp;M - 2nd Half 2019 (FY20)</v>
      </c>
      <c r="H343" s="20" t="s">
        <v>996</v>
      </c>
      <c r="I343" s="2">
        <v>43664</v>
      </c>
      <c r="J343" s="4">
        <f t="shared" si="43"/>
        <v>18</v>
      </c>
      <c r="K343" s="3">
        <v>0</v>
      </c>
      <c r="L343" s="3">
        <v>0</v>
      </c>
      <c r="M343" s="3">
        <v>0.75</v>
      </c>
      <c r="N343" s="3">
        <v>0</v>
      </c>
      <c r="O343" s="3">
        <v>0</v>
      </c>
      <c r="P343" s="3">
        <v>0</v>
      </c>
      <c r="Q343" s="3">
        <f t="shared" si="44"/>
        <v>0.75</v>
      </c>
      <c r="R343" s="1" t="s">
        <v>970</v>
      </c>
      <c r="S343" s="1" t="s">
        <v>23</v>
      </c>
      <c r="T343" s="3">
        <f t="shared" si="45"/>
        <v>0</v>
      </c>
      <c r="U343" s="44">
        <f>IF(Table1[[#This Row],[Initials]]="RM",$AE$10,IF(Table1[[#This Row],[Initials]]="JPH",$AE$11,IF(Table1[[#This Row],[Initials]]="IE",$AE$13,IF(Table1[[#This Row],[Initials]]="JM",$AE$14,1))))</f>
        <v>0.53</v>
      </c>
      <c r="V343" s="3">
        <f>Table1[[#This Row],[FTE %]]*Table1[[#This Row],[Time Worked]]</f>
        <v>0.39750000000000002</v>
      </c>
      <c r="W3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43" s="38">
        <f t="shared" si="46"/>
        <v>46.447499999999998</v>
      </c>
      <c r="Y343" s="18">
        <f t="shared" si="47"/>
        <v>0</v>
      </c>
    </row>
    <row r="344" spans="1:25" x14ac:dyDescent="0.25">
      <c r="A344" s="10">
        <f t="shared" si="40"/>
        <v>343</v>
      </c>
      <c r="B344" s="6" t="str">
        <f t="shared" si="41"/>
        <v>71820192638RM</v>
      </c>
      <c r="C344" s="1" t="s">
        <v>967</v>
      </c>
      <c r="D344" s="1" t="s">
        <v>996</v>
      </c>
      <c r="E344" s="53" t="str">
        <f t="shared" si="42"/>
        <v>Unbilled</v>
      </c>
      <c r="F344" s="1">
        <v>2638</v>
      </c>
      <c r="G344" s="37" t="str">
        <f>VLOOKUP(Table1[[#This Row],[WO'#]],Table2[#All],2,FALSE)</f>
        <v>P&amp;M - 2nd Half 2019 (FY20)</v>
      </c>
      <c r="H344" s="20" t="s">
        <v>996</v>
      </c>
      <c r="I344" s="2">
        <v>43664</v>
      </c>
      <c r="J344" s="4">
        <f t="shared" si="43"/>
        <v>18</v>
      </c>
      <c r="K344" s="3">
        <v>0.5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f t="shared" si="44"/>
        <v>0.5</v>
      </c>
      <c r="R344" s="1" t="s">
        <v>17</v>
      </c>
      <c r="S344" s="1" t="s">
        <v>23</v>
      </c>
      <c r="T344" s="3">
        <f t="shared" si="45"/>
        <v>0</v>
      </c>
      <c r="U344" s="44">
        <f>IF(Table1[[#This Row],[Initials]]="RM",$AE$10,IF(Table1[[#This Row],[Initials]]="JPH",$AE$11,IF(Table1[[#This Row],[Initials]]="IE",$AE$13,IF(Table1[[#This Row],[Initials]]="JM",$AE$14,1))))</f>
        <v>0.5</v>
      </c>
      <c r="V344" s="3">
        <f>Table1[[#This Row],[FTE %]]*Table1[[#This Row],[Time Worked]]</f>
        <v>0.25</v>
      </c>
      <c r="W3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44" s="38">
        <f t="shared" si="46"/>
        <v>30.965</v>
      </c>
      <c r="Y344" s="18">
        <f t="shared" si="47"/>
        <v>0</v>
      </c>
    </row>
    <row r="345" spans="1:25" x14ac:dyDescent="0.25">
      <c r="A345" s="10">
        <f t="shared" si="40"/>
        <v>344</v>
      </c>
      <c r="B345" s="6" t="str">
        <f t="shared" si="41"/>
        <v>71820192638RM</v>
      </c>
      <c r="C345" s="1" t="s">
        <v>967</v>
      </c>
      <c r="D345" s="1" t="s">
        <v>996</v>
      </c>
      <c r="E345" s="53" t="str">
        <f t="shared" si="42"/>
        <v>Unbilled</v>
      </c>
      <c r="F345" s="1">
        <v>2638</v>
      </c>
      <c r="G345" s="37" t="str">
        <f>VLOOKUP(Table1[[#This Row],[WO'#]],Table2[#All],2,FALSE)</f>
        <v>P&amp;M - 2nd Half 2019 (FY20)</v>
      </c>
      <c r="H345" s="20" t="s">
        <v>996</v>
      </c>
      <c r="I345" s="2">
        <v>43664</v>
      </c>
      <c r="J345" s="4">
        <f t="shared" si="43"/>
        <v>18</v>
      </c>
      <c r="K345" s="3">
        <v>0</v>
      </c>
      <c r="L345" s="3">
        <v>0</v>
      </c>
      <c r="M345" s="3">
        <v>0</v>
      </c>
      <c r="N345" s="3">
        <v>6</v>
      </c>
      <c r="O345" s="3">
        <v>0</v>
      </c>
      <c r="P345" s="3">
        <v>0</v>
      </c>
      <c r="Q345" s="3">
        <f t="shared" si="44"/>
        <v>6</v>
      </c>
      <c r="R345" s="1" t="s">
        <v>17</v>
      </c>
      <c r="S345" s="1" t="s">
        <v>23</v>
      </c>
      <c r="T345" s="3">
        <f t="shared" si="45"/>
        <v>0</v>
      </c>
      <c r="U345" s="44">
        <f>IF(Table1[[#This Row],[Initials]]="RM",$AE$10,IF(Table1[[#This Row],[Initials]]="JPH",$AE$11,IF(Table1[[#This Row],[Initials]]="IE",$AE$13,IF(Table1[[#This Row],[Initials]]="JM",$AE$14,1))))</f>
        <v>0.5</v>
      </c>
      <c r="V345" s="3">
        <f>Table1[[#This Row],[FTE %]]*Table1[[#This Row],[Time Worked]]</f>
        <v>3</v>
      </c>
      <c r="W3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371.58</v>
      </c>
      <c r="X345" s="38">
        <f t="shared" si="46"/>
        <v>371.58</v>
      </c>
      <c r="Y345" s="18">
        <f t="shared" si="47"/>
        <v>0</v>
      </c>
    </row>
    <row r="346" spans="1:25" x14ac:dyDescent="0.25">
      <c r="A346" s="10">
        <f t="shared" si="40"/>
        <v>345</v>
      </c>
      <c r="B346" s="6" t="str">
        <f t="shared" si="41"/>
        <v>71920192638JM</v>
      </c>
      <c r="C346" s="1" t="s">
        <v>967</v>
      </c>
      <c r="D346" s="1" t="s">
        <v>996</v>
      </c>
      <c r="E346" s="53" t="str">
        <f t="shared" si="42"/>
        <v>Unbilled</v>
      </c>
      <c r="F346" s="1">
        <v>2638</v>
      </c>
      <c r="G346" s="37" t="str">
        <f>VLOOKUP(Table1[[#This Row],[WO'#]],Table2[#All],2,FALSE)</f>
        <v>P&amp;M - 2nd Half 2019 (FY20)</v>
      </c>
      <c r="H346" s="20" t="s">
        <v>996</v>
      </c>
      <c r="I346" s="2">
        <v>43665</v>
      </c>
      <c r="J346" s="4">
        <f t="shared" si="43"/>
        <v>19</v>
      </c>
      <c r="K346" s="3">
        <v>0.5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f t="shared" si="44"/>
        <v>0.5</v>
      </c>
      <c r="R346" s="1" t="s">
        <v>972</v>
      </c>
      <c r="S346" s="1" t="s">
        <v>23</v>
      </c>
      <c r="T346" s="3">
        <f t="shared" si="45"/>
        <v>0</v>
      </c>
      <c r="U346" s="44">
        <f>IF(Table1[[#This Row],[Initials]]="RM",$AE$10,IF(Table1[[#This Row],[Initials]]="JPH",$AE$11,IF(Table1[[#This Row],[Initials]]="IE",$AE$13,IF(Table1[[#This Row],[Initials]]="JM",$AE$14,1))))</f>
        <v>0.39500000000000002</v>
      </c>
      <c r="V346" s="3">
        <f>Table1[[#This Row],[FTE %]]*Table1[[#This Row],[Time Worked]]</f>
        <v>0.19750000000000001</v>
      </c>
      <c r="W3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46" s="38">
        <f t="shared" si="46"/>
        <v>30.965</v>
      </c>
      <c r="Y346" s="18">
        <f t="shared" si="47"/>
        <v>0</v>
      </c>
    </row>
    <row r="347" spans="1:25" x14ac:dyDescent="0.25">
      <c r="A347" s="10">
        <f t="shared" si="40"/>
        <v>346</v>
      </c>
      <c r="B347" s="6" t="str">
        <f t="shared" si="41"/>
        <v>71920192638JM</v>
      </c>
      <c r="C347" s="1" t="s">
        <v>967</v>
      </c>
      <c r="D347" s="1" t="s">
        <v>996</v>
      </c>
      <c r="E347" s="53" t="str">
        <f t="shared" si="42"/>
        <v>Unbilled</v>
      </c>
      <c r="F347" s="1">
        <v>2638</v>
      </c>
      <c r="G347" s="37" t="str">
        <f>VLOOKUP(Table1[[#This Row],[WO'#]],Table2[#All],2,FALSE)</f>
        <v>P&amp;M - 2nd Half 2019 (FY20)</v>
      </c>
      <c r="H347" s="20" t="s">
        <v>996</v>
      </c>
      <c r="I347" s="2">
        <v>43665</v>
      </c>
      <c r="J347" s="4">
        <f t="shared" si="43"/>
        <v>19</v>
      </c>
      <c r="K347" s="3">
        <v>0</v>
      </c>
      <c r="L347" s="3">
        <v>1.5</v>
      </c>
      <c r="M347" s="3">
        <v>0</v>
      </c>
      <c r="N347" s="3">
        <v>0</v>
      </c>
      <c r="O347" s="3">
        <v>0</v>
      </c>
      <c r="P347" s="3">
        <v>0</v>
      </c>
      <c r="Q347" s="3">
        <f t="shared" si="44"/>
        <v>1.5</v>
      </c>
      <c r="R347" s="1" t="s">
        <v>972</v>
      </c>
      <c r="S347" s="1" t="s">
        <v>23</v>
      </c>
      <c r="T347" s="3">
        <f t="shared" si="45"/>
        <v>0</v>
      </c>
      <c r="U347" s="44">
        <f>IF(Table1[[#This Row],[Initials]]="RM",$AE$10,IF(Table1[[#This Row],[Initials]]="JPH",$AE$11,IF(Table1[[#This Row],[Initials]]="IE",$AE$13,IF(Table1[[#This Row],[Initials]]="JM",$AE$14,1))))</f>
        <v>0.39500000000000002</v>
      </c>
      <c r="V347" s="3">
        <f>Table1[[#This Row],[FTE %]]*Table1[[#This Row],[Time Worked]]</f>
        <v>0.59250000000000003</v>
      </c>
      <c r="W3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47" s="38">
        <f t="shared" si="46"/>
        <v>92.894999999999996</v>
      </c>
      <c r="Y347" s="18">
        <f t="shared" si="47"/>
        <v>0</v>
      </c>
    </row>
    <row r="348" spans="1:25" x14ac:dyDescent="0.25">
      <c r="A348" s="10">
        <f t="shared" si="40"/>
        <v>347</v>
      </c>
      <c r="B348" s="6" t="str">
        <f t="shared" si="41"/>
        <v>72220192638IE</v>
      </c>
      <c r="C348" s="1" t="s">
        <v>967</v>
      </c>
      <c r="D348" s="1" t="s">
        <v>996</v>
      </c>
      <c r="E348" s="53" t="str">
        <f t="shared" si="42"/>
        <v>Unbilled</v>
      </c>
      <c r="F348" s="1">
        <v>2638</v>
      </c>
      <c r="G348" s="37" t="str">
        <f>VLOOKUP(Table1[[#This Row],[WO'#]],Table2[#All],2,FALSE)</f>
        <v>P&amp;M - 2nd Half 2019 (FY20)</v>
      </c>
      <c r="H348" s="20" t="s">
        <v>996</v>
      </c>
      <c r="I348" s="2">
        <v>43668</v>
      </c>
      <c r="J348" s="4">
        <f t="shared" si="43"/>
        <v>22</v>
      </c>
      <c r="K348" s="3">
        <v>0</v>
      </c>
      <c r="L348" s="3">
        <v>0</v>
      </c>
      <c r="M348" s="3">
        <v>0.5</v>
      </c>
      <c r="N348" s="3">
        <v>0</v>
      </c>
      <c r="O348" s="3">
        <v>0</v>
      </c>
      <c r="P348" s="3">
        <v>0</v>
      </c>
      <c r="Q348" s="3">
        <f t="shared" si="44"/>
        <v>0.5</v>
      </c>
      <c r="R348" s="1" t="s">
        <v>971</v>
      </c>
      <c r="S348" s="1" t="s">
        <v>23</v>
      </c>
      <c r="T348" s="3">
        <f t="shared" si="45"/>
        <v>0</v>
      </c>
      <c r="U348" s="44">
        <f>IF(Table1[[#This Row],[Initials]]="RM",$AE$10,IF(Table1[[#This Row],[Initials]]="JPH",$AE$11,IF(Table1[[#This Row],[Initials]]="IE",$AE$13,IF(Table1[[#This Row],[Initials]]="JM",$AE$14,1))))</f>
        <v>1</v>
      </c>
      <c r="V348" s="3">
        <f>Table1[[#This Row],[FTE %]]*Table1[[#This Row],[Time Worked]]</f>
        <v>0.5</v>
      </c>
      <c r="W3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48" s="38">
        <f t="shared" si="46"/>
        <v>30.965</v>
      </c>
      <c r="Y348" s="18">
        <f t="shared" si="47"/>
        <v>0</v>
      </c>
    </row>
    <row r="349" spans="1:25" x14ac:dyDescent="0.25">
      <c r="A349" s="10">
        <f t="shared" si="40"/>
        <v>348</v>
      </c>
      <c r="B349" s="6" t="str">
        <f t="shared" si="41"/>
        <v>72220192638RM</v>
      </c>
      <c r="C349" s="1" t="s">
        <v>967</v>
      </c>
      <c r="D349" s="1" t="s">
        <v>996</v>
      </c>
      <c r="E349" s="53" t="str">
        <f t="shared" si="42"/>
        <v>Unbilled</v>
      </c>
      <c r="F349" s="1">
        <v>2638</v>
      </c>
      <c r="G349" s="37" t="str">
        <f>VLOOKUP(Table1[[#This Row],[WO'#]],Table2[#All],2,FALSE)</f>
        <v>P&amp;M - 2nd Half 2019 (FY20)</v>
      </c>
      <c r="H349" s="20" t="s">
        <v>996</v>
      </c>
      <c r="I349" s="2">
        <v>43668</v>
      </c>
      <c r="J349" s="4">
        <f t="shared" si="43"/>
        <v>22</v>
      </c>
      <c r="K349" s="3">
        <v>0.5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f t="shared" si="44"/>
        <v>0.5</v>
      </c>
      <c r="R349" s="1" t="s">
        <v>17</v>
      </c>
      <c r="S349" s="1" t="s">
        <v>23</v>
      </c>
      <c r="T349" s="3">
        <f t="shared" si="45"/>
        <v>0</v>
      </c>
      <c r="U349" s="44">
        <f>IF(Table1[[#This Row],[Initials]]="RM",$AE$10,IF(Table1[[#This Row],[Initials]]="JPH",$AE$11,IF(Table1[[#This Row],[Initials]]="IE",$AE$13,IF(Table1[[#This Row],[Initials]]="JM",$AE$14,1))))</f>
        <v>0.5</v>
      </c>
      <c r="V349" s="3">
        <f>Table1[[#This Row],[FTE %]]*Table1[[#This Row],[Time Worked]]</f>
        <v>0.25</v>
      </c>
      <c r="W3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49" s="38">
        <f t="shared" si="46"/>
        <v>30.965</v>
      </c>
      <c r="Y349" s="18">
        <f t="shared" si="47"/>
        <v>0</v>
      </c>
    </row>
    <row r="350" spans="1:25" x14ac:dyDescent="0.25">
      <c r="A350" s="10">
        <f t="shared" si="40"/>
        <v>349</v>
      </c>
      <c r="B350" s="6" t="str">
        <f t="shared" si="41"/>
        <v>72220192638RM</v>
      </c>
      <c r="C350" s="1" t="s">
        <v>967</v>
      </c>
      <c r="D350" s="1" t="s">
        <v>996</v>
      </c>
      <c r="E350" s="53" t="str">
        <f t="shared" si="42"/>
        <v>Unbilled</v>
      </c>
      <c r="F350" s="1">
        <v>2638</v>
      </c>
      <c r="G350" s="37" t="str">
        <f>VLOOKUP(Table1[[#This Row],[WO'#]],Table2[#All],2,FALSE)</f>
        <v>P&amp;M - 2nd Half 2019 (FY20)</v>
      </c>
      <c r="H350" s="20" t="s">
        <v>996</v>
      </c>
      <c r="I350" s="2">
        <v>43668</v>
      </c>
      <c r="J350" s="4">
        <f t="shared" si="43"/>
        <v>22</v>
      </c>
      <c r="K350" s="3">
        <v>0</v>
      </c>
      <c r="L350" s="3">
        <v>0</v>
      </c>
      <c r="M350" s="3">
        <v>0</v>
      </c>
      <c r="N350" s="3">
        <v>3</v>
      </c>
      <c r="O350" s="3">
        <v>0</v>
      </c>
      <c r="P350" s="3">
        <v>0</v>
      </c>
      <c r="Q350" s="3">
        <f t="shared" si="44"/>
        <v>3</v>
      </c>
      <c r="R350" s="1" t="s">
        <v>17</v>
      </c>
      <c r="S350" s="1" t="s">
        <v>23</v>
      </c>
      <c r="T350" s="3">
        <f t="shared" si="45"/>
        <v>0</v>
      </c>
      <c r="U350" s="44">
        <f>IF(Table1[[#This Row],[Initials]]="RM",$AE$10,IF(Table1[[#This Row],[Initials]]="JPH",$AE$11,IF(Table1[[#This Row],[Initials]]="IE",$AE$13,IF(Table1[[#This Row],[Initials]]="JM",$AE$14,1))))</f>
        <v>0.5</v>
      </c>
      <c r="V350" s="3">
        <f>Table1[[#This Row],[FTE %]]*Table1[[#This Row],[Time Worked]]</f>
        <v>1.5</v>
      </c>
      <c r="W3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350" s="38">
        <f t="shared" si="46"/>
        <v>185.79</v>
      </c>
      <c r="Y350" s="18">
        <f t="shared" si="47"/>
        <v>0</v>
      </c>
    </row>
    <row r="351" spans="1:25" x14ac:dyDescent="0.25">
      <c r="A351" s="10">
        <f t="shared" si="40"/>
        <v>350</v>
      </c>
      <c r="B351" s="6" t="str">
        <f t="shared" si="41"/>
        <v>72320192638JM</v>
      </c>
      <c r="C351" s="1" t="s">
        <v>967</v>
      </c>
      <c r="D351" s="1" t="s">
        <v>996</v>
      </c>
      <c r="E351" s="53" t="str">
        <f t="shared" si="42"/>
        <v>Unbilled</v>
      </c>
      <c r="F351" s="1">
        <v>2638</v>
      </c>
      <c r="G351" s="37" t="str">
        <f>VLOOKUP(Table1[[#This Row],[WO'#]],Table2[#All],2,FALSE)</f>
        <v>P&amp;M - 2nd Half 2019 (FY20)</v>
      </c>
      <c r="H351" s="20" t="s">
        <v>996</v>
      </c>
      <c r="I351" s="2">
        <v>43669</v>
      </c>
      <c r="J351" s="4">
        <f t="shared" si="43"/>
        <v>23</v>
      </c>
      <c r="K351" s="3">
        <v>0</v>
      </c>
      <c r="L351" s="3">
        <v>0.25</v>
      </c>
      <c r="M351" s="3">
        <v>0</v>
      </c>
      <c r="N351" s="3">
        <v>0</v>
      </c>
      <c r="O351" s="3">
        <v>0</v>
      </c>
      <c r="P351" s="3">
        <v>0</v>
      </c>
      <c r="Q351" s="3">
        <f t="shared" si="44"/>
        <v>0.25</v>
      </c>
      <c r="R351" s="1" t="s">
        <v>972</v>
      </c>
      <c r="S351" s="1" t="s">
        <v>23</v>
      </c>
      <c r="T351" s="3">
        <f t="shared" si="45"/>
        <v>0</v>
      </c>
      <c r="U351" s="44">
        <f>IF(Table1[[#This Row],[Initials]]="RM",$AE$10,IF(Table1[[#This Row],[Initials]]="JPH",$AE$11,IF(Table1[[#This Row],[Initials]]="IE",$AE$13,IF(Table1[[#This Row],[Initials]]="JM",$AE$14,1))))</f>
        <v>0.39500000000000002</v>
      </c>
      <c r="V351" s="3">
        <f>Table1[[#This Row],[FTE %]]*Table1[[#This Row],[Time Worked]]</f>
        <v>9.8750000000000004E-2</v>
      </c>
      <c r="W35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51" s="38">
        <f t="shared" si="46"/>
        <v>15.4825</v>
      </c>
      <c r="Y351" s="18">
        <f t="shared" si="47"/>
        <v>0</v>
      </c>
    </row>
    <row r="352" spans="1:25" x14ac:dyDescent="0.25">
      <c r="A352" s="10">
        <f t="shared" si="40"/>
        <v>351</v>
      </c>
      <c r="B352" s="6" t="str">
        <f t="shared" si="41"/>
        <v>72320192638JM</v>
      </c>
      <c r="C352" s="1" t="s">
        <v>967</v>
      </c>
      <c r="D352" s="1" t="s">
        <v>996</v>
      </c>
      <c r="E352" s="53" t="str">
        <f t="shared" si="42"/>
        <v>Unbilled</v>
      </c>
      <c r="F352" s="1">
        <v>2638</v>
      </c>
      <c r="G352" s="37" t="str">
        <f>VLOOKUP(Table1[[#This Row],[WO'#]],Table2[#All],2,FALSE)</f>
        <v>P&amp;M - 2nd Half 2019 (FY20)</v>
      </c>
      <c r="H352" s="20" t="s">
        <v>996</v>
      </c>
      <c r="I352" s="2">
        <v>43669</v>
      </c>
      <c r="J352" s="4">
        <f t="shared" si="43"/>
        <v>23</v>
      </c>
      <c r="K352" s="3">
        <v>0</v>
      </c>
      <c r="L352" s="3">
        <v>0</v>
      </c>
      <c r="M352" s="3">
        <v>1</v>
      </c>
      <c r="N352" s="3">
        <v>0</v>
      </c>
      <c r="O352" s="3">
        <v>0</v>
      </c>
      <c r="P352" s="3">
        <v>0</v>
      </c>
      <c r="Q352" s="3">
        <f t="shared" si="44"/>
        <v>1</v>
      </c>
      <c r="R352" s="1" t="s">
        <v>972</v>
      </c>
      <c r="S352" s="1" t="s">
        <v>23</v>
      </c>
      <c r="T352" s="3">
        <f t="shared" si="45"/>
        <v>0</v>
      </c>
      <c r="U352" s="44">
        <f>IF(Table1[[#This Row],[Initials]]="RM",$AE$10,IF(Table1[[#This Row],[Initials]]="JPH",$AE$11,IF(Table1[[#This Row],[Initials]]="IE",$AE$13,IF(Table1[[#This Row],[Initials]]="JM",$AE$14,1))))</f>
        <v>0.39500000000000002</v>
      </c>
      <c r="V352" s="3">
        <f>Table1[[#This Row],[FTE %]]*Table1[[#This Row],[Time Worked]]</f>
        <v>0.39500000000000002</v>
      </c>
      <c r="W35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52" s="38">
        <f t="shared" si="46"/>
        <v>61.93</v>
      </c>
      <c r="Y352" s="18">
        <f t="shared" si="47"/>
        <v>0</v>
      </c>
    </row>
    <row r="353" spans="1:25" x14ac:dyDescent="0.25">
      <c r="A353" s="10">
        <f t="shared" si="40"/>
        <v>352</v>
      </c>
      <c r="B353" s="6" t="str">
        <f t="shared" si="41"/>
        <v>72320192638JM</v>
      </c>
      <c r="C353" s="1" t="s">
        <v>967</v>
      </c>
      <c r="D353" s="1" t="s">
        <v>996</v>
      </c>
      <c r="E353" s="53" t="str">
        <f t="shared" si="42"/>
        <v>Unbilled</v>
      </c>
      <c r="F353" s="1">
        <v>2638</v>
      </c>
      <c r="G353" s="37" t="str">
        <f>VLOOKUP(Table1[[#This Row],[WO'#]],Table2[#All],2,FALSE)</f>
        <v>P&amp;M - 2nd Half 2019 (FY20)</v>
      </c>
      <c r="H353" s="20" t="s">
        <v>996</v>
      </c>
      <c r="I353" s="2">
        <v>43669</v>
      </c>
      <c r="J353" s="4">
        <f t="shared" si="43"/>
        <v>23</v>
      </c>
      <c r="K353" s="3">
        <v>6.5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f t="shared" si="44"/>
        <v>6.5</v>
      </c>
      <c r="R353" s="1" t="s">
        <v>972</v>
      </c>
      <c r="S353" s="1" t="s">
        <v>23</v>
      </c>
      <c r="T353" s="3">
        <f t="shared" si="45"/>
        <v>0</v>
      </c>
      <c r="U353" s="44">
        <f>IF(Table1[[#This Row],[Initials]]="RM",$AE$10,IF(Table1[[#This Row],[Initials]]="JPH",$AE$11,IF(Table1[[#This Row],[Initials]]="IE",$AE$13,IF(Table1[[#This Row],[Initials]]="JM",$AE$14,1))))</f>
        <v>0.39500000000000002</v>
      </c>
      <c r="V353" s="3">
        <f>Table1[[#This Row],[FTE %]]*Table1[[#This Row],[Time Worked]]</f>
        <v>2.5674999999999999</v>
      </c>
      <c r="W35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402.54500000000002</v>
      </c>
      <c r="X353" s="38">
        <f t="shared" si="46"/>
        <v>402.54500000000002</v>
      </c>
      <c r="Y353" s="18">
        <f t="shared" si="47"/>
        <v>0</v>
      </c>
    </row>
    <row r="354" spans="1:25" x14ac:dyDescent="0.25">
      <c r="A354" s="10">
        <f t="shared" si="40"/>
        <v>353</v>
      </c>
      <c r="B354" s="6" t="str">
        <f t="shared" si="41"/>
        <v>72320192638JPH</v>
      </c>
      <c r="C354" s="1" t="s">
        <v>967</v>
      </c>
      <c r="D354" s="1" t="s">
        <v>996</v>
      </c>
      <c r="E354" s="53" t="str">
        <f t="shared" si="42"/>
        <v>Unbilled</v>
      </c>
      <c r="F354" s="1">
        <v>2638</v>
      </c>
      <c r="G354" s="37" t="str">
        <f>VLOOKUP(Table1[[#This Row],[WO'#]],Table2[#All],2,FALSE)</f>
        <v>P&amp;M - 2nd Half 2019 (FY20)</v>
      </c>
      <c r="H354" s="20" t="s">
        <v>996</v>
      </c>
      <c r="I354" s="2">
        <v>43669</v>
      </c>
      <c r="J354" s="4">
        <f t="shared" si="43"/>
        <v>23</v>
      </c>
      <c r="K354" s="3">
        <v>0</v>
      </c>
      <c r="L354" s="3">
        <v>0</v>
      </c>
      <c r="M354" s="3">
        <v>1</v>
      </c>
      <c r="N354" s="3">
        <v>0</v>
      </c>
      <c r="O354" s="3">
        <v>0</v>
      </c>
      <c r="P354" s="3">
        <v>0</v>
      </c>
      <c r="Q354" s="3">
        <f t="shared" si="44"/>
        <v>1</v>
      </c>
      <c r="R354" s="1" t="s">
        <v>970</v>
      </c>
      <c r="S354" s="1" t="s">
        <v>23</v>
      </c>
      <c r="T354" s="3">
        <f t="shared" si="45"/>
        <v>0</v>
      </c>
      <c r="U354" s="44">
        <f>IF(Table1[[#This Row],[Initials]]="RM",$AE$10,IF(Table1[[#This Row],[Initials]]="JPH",$AE$11,IF(Table1[[#This Row],[Initials]]="IE",$AE$13,IF(Table1[[#This Row],[Initials]]="JM",$AE$14,1))))</f>
        <v>0.53</v>
      </c>
      <c r="V354" s="3">
        <f>Table1[[#This Row],[FTE %]]*Table1[[#This Row],[Time Worked]]</f>
        <v>0.53</v>
      </c>
      <c r="W35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54" s="38">
        <f t="shared" si="46"/>
        <v>61.93</v>
      </c>
      <c r="Y354" s="18">
        <f t="shared" si="47"/>
        <v>0</v>
      </c>
    </row>
    <row r="355" spans="1:25" x14ac:dyDescent="0.25">
      <c r="A355" s="10">
        <f t="shared" si="40"/>
        <v>354</v>
      </c>
      <c r="B355" s="6" t="str">
        <f t="shared" si="41"/>
        <v>72420192638IE</v>
      </c>
      <c r="C355" s="1" t="s">
        <v>967</v>
      </c>
      <c r="D355" s="1" t="s">
        <v>996</v>
      </c>
      <c r="E355" s="53" t="str">
        <f t="shared" si="42"/>
        <v>Unbilled</v>
      </c>
      <c r="F355" s="1">
        <v>2638</v>
      </c>
      <c r="G355" s="37" t="str">
        <f>VLOOKUP(Table1[[#This Row],[WO'#]],Table2[#All],2,FALSE)</f>
        <v>P&amp;M - 2nd Half 2019 (FY20)</v>
      </c>
      <c r="H355" s="20" t="s">
        <v>996</v>
      </c>
      <c r="I355" s="2">
        <v>43670</v>
      </c>
      <c r="J355" s="4">
        <f t="shared" si="43"/>
        <v>24</v>
      </c>
      <c r="K355" s="3">
        <v>0</v>
      </c>
      <c r="L355" s="3">
        <v>0</v>
      </c>
      <c r="M355" s="3">
        <v>0.25</v>
      </c>
      <c r="N355" s="3">
        <v>0</v>
      </c>
      <c r="O355" s="3">
        <v>0</v>
      </c>
      <c r="P355" s="3">
        <v>0</v>
      </c>
      <c r="Q355" s="3">
        <f t="shared" si="44"/>
        <v>0.25</v>
      </c>
      <c r="R355" s="1" t="s">
        <v>971</v>
      </c>
      <c r="S355" s="1" t="s">
        <v>23</v>
      </c>
      <c r="T355" s="3">
        <f t="shared" si="45"/>
        <v>0</v>
      </c>
      <c r="U355" s="44">
        <f>IF(Table1[[#This Row],[Initials]]="RM",$AE$10,IF(Table1[[#This Row],[Initials]]="JPH",$AE$11,IF(Table1[[#This Row],[Initials]]="IE",$AE$13,IF(Table1[[#This Row],[Initials]]="JM",$AE$14,1))))</f>
        <v>1</v>
      </c>
      <c r="V355" s="3">
        <f>Table1[[#This Row],[FTE %]]*Table1[[#This Row],[Time Worked]]</f>
        <v>0.25</v>
      </c>
      <c r="W35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55" s="38">
        <f t="shared" si="46"/>
        <v>15.4825</v>
      </c>
      <c r="Y355" s="18">
        <f t="shared" si="47"/>
        <v>0</v>
      </c>
    </row>
    <row r="356" spans="1:25" x14ac:dyDescent="0.25">
      <c r="A356" s="10">
        <f t="shared" si="40"/>
        <v>355</v>
      </c>
      <c r="B356" s="6" t="str">
        <f t="shared" si="41"/>
        <v>72420192638IE</v>
      </c>
      <c r="C356" s="1" t="s">
        <v>967</v>
      </c>
      <c r="D356" s="1" t="s">
        <v>996</v>
      </c>
      <c r="E356" s="53" t="str">
        <f t="shared" si="42"/>
        <v>Unbilled</v>
      </c>
      <c r="F356" s="1">
        <v>2638</v>
      </c>
      <c r="G356" s="37" t="str">
        <f>VLOOKUP(Table1[[#This Row],[WO'#]],Table2[#All],2,FALSE)</f>
        <v>P&amp;M - 2nd Half 2019 (FY20)</v>
      </c>
      <c r="H356" s="20" t="s">
        <v>996</v>
      </c>
      <c r="I356" s="2">
        <v>43670</v>
      </c>
      <c r="J356" s="4">
        <f t="shared" si="43"/>
        <v>24</v>
      </c>
      <c r="K356" s="3">
        <v>0</v>
      </c>
      <c r="L356" s="3">
        <v>0</v>
      </c>
      <c r="M356" s="3">
        <v>0.25</v>
      </c>
      <c r="N356" s="3">
        <v>0</v>
      </c>
      <c r="O356" s="3">
        <v>0</v>
      </c>
      <c r="P356" s="3">
        <v>0</v>
      </c>
      <c r="Q356" s="3">
        <f t="shared" si="44"/>
        <v>0.25</v>
      </c>
      <c r="R356" s="1" t="s">
        <v>971</v>
      </c>
      <c r="S356" s="1" t="s">
        <v>23</v>
      </c>
      <c r="T356" s="3">
        <f t="shared" si="45"/>
        <v>0</v>
      </c>
      <c r="U356" s="44">
        <f>IF(Table1[[#This Row],[Initials]]="RM",$AE$10,IF(Table1[[#This Row],[Initials]]="JPH",$AE$11,IF(Table1[[#This Row],[Initials]]="IE",$AE$13,IF(Table1[[#This Row],[Initials]]="JM",$AE$14,1))))</f>
        <v>1</v>
      </c>
      <c r="V356" s="3">
        <f>Table1[[#This Row],[FTE %]]*Table1[[#This Row],[Time Worked]]</f>
        <v>0.25</v>
      </c>
      <c r="W35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56" s="38">
        <f t="shared" si="46"/>
        <v>15.4825</v>
      </c>
      <c r="Y356" s="18">
        <f t="shared" si="47"/>
        <v>0</v>
      </c>
    </row>
    <row r="357" spans="1:25" x14ac:dyDescent="0.25">
      <c r="A357" s="10">
        <f t="shared" si="40"/>
        <v>356</v>
      </c>
      <c r="B357" s="6" t="str">
        <f t="shared" si="41"/>
        <v>72420192638JM</v>
      </c>
      <c r="C357" s="1" t="s">
        <v>967</v>
      </c>
      <c r="D357" s="1" t="s">
        <v>996</v>
      </c>
      <c r="E357" s="53" t="str">
        <f t="shared" si="42"/>
        <v>Unbilled</v>
      </c>
      <c r="F357" s="1">
        <v>2638</v>
      </c>
      <c r="G357" s="37" t="str">
        <f>VLOOKUP(Table1[[#This Row],[WO'#]],Table2[#All],2,FALSE)</f>
        <v>P&amp;M - 2nd Half 2019 (FY20)</v>
      </c>
      <c r="H357" s="20" t="s">
        <v>996</v>
      </c>
      <c r="I357" s="2">
        <v>43670</v>
      </c>
      <c r="J357" s="4">
        <f t="shared" si="43"/>
        <v>24</v>
      </c>
      <c r="K357" s="3">
        <v>0</v>
      </c>
      <c r="L357" s="3">
        <v>0</v>
      </c>
      <c r="M357" s="3">
        <v>0.5</v>
      </c>
      <c r="N357" s="3">
        <v>0</v>
      </c>
      <c r="O357" s="3">
        <v>0</v>
      </c>
      <c r="P357" s="3">
        <v>0</v>
      </c>
      <c r="Q357" s="3">
        <f t="shared" si="44"/>
        <v>0.5</v>
      </c>
      <c r="R357" s="1" t="s">
        <v>972</v>
      </c>
      <c r="S357" s="1" t="s">
        <v>23</v>
      </c>
      <c r="T357" s="3">
        <f t="shared" si="45"/>
        <v>0</v>
      </c>
      <c r="U357" s="44">
        <f>IF(Table1[[#This Row],[Initials]]="RM",$AE$10,IF(Table1[[#This Row],[Initials]]="JPH",$AE$11,IF(Table1[[#This Row],[Initials]]="IE",$AE$13,IF(Table1[[#This Row],[Initials]]="JM",$AE$14,1))))</f>
        <v>0.39500000000000002</v>
      </c>
      <c r="V357" s="3">
        <f>Table1[[#This Row],[FTE %]]*Table1[[#This Row],[Time Worked]]</f>
        <v>0.19750000000000001</v>
      </c>
      <c r="W35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57" s="38">
        <f t="shared" si="46"/>
        <v>30.965</v>
      </c>
      <c r="Y357" s="18">
        <f t="shared" si="47"/>
        <v>0</v>
      </c>
    </row>
    <row r="358" spans="1:25" x14ac:dyDescent="0.25">
      <c r="A358" s="10">
        <f t="shared" si="40"/>
        <v>357</v>
      </c>
      <c r="B358" s="6" t="str">
        <f t="shared" si="41"/>
        <v>72420192638JM</v>
      </c>
      <c r="C358" s="1" t="s">
        <v>967</v>
      </c>
      <c r="D358" s="1" t="s">
        <v>996</v>
      </c>
      <c r="E358" s="53" t="str">
        <f t="shared" si="42"/>
        <v>Unbilled</v>
      </c>
      <c r="F358" s="1">
        <v>2638</v>
      </c>
      <c r="G358" s="37" t="str">
        <f>VLOOKUP(Table1[[#This Row],[WO'#]],Table2[#All],2,FALSE)</f>
        <v>P&amp;M - 2nd Half 2019 (FY20)</v>
      </c>
      <c r="H358" s="20" t="s">
        <v>996</v>
      </c>
      <c r="I358" s="2">
        <v>43670</v>
      </c>
      <c r="J358" s="4">
        <f t="shared" si="43"/>
        <v>24</v>
      </c>
      <c r="K358" s="3">
        <v>2.25</v>
      </c>
      <c r="L358" s="3">
        <v>0</v>
      </c>
      <c r="M358" s="3">
        <v>0</v>
      </c>
      <c r="N358" s="3">
        <v>0</v>
      </c>
      <c r="O358" s="3">
        <v>0</v>
      </c>
      <c r="P358" s="3">
        <v>0</v>
      </c>
      <c r="Q358" s="3">
        <f t="shared" si="44"/>
        <v>2.25</v>
      </c>
      <c r="R358" s="1" t="s">
        <v>972</v>
      </c>
      <c r="S358" s="1" t="s">
        <v>23</v>
      </c>
      <c r="T358" s="3">
        <f t="shared" si="45"/>
        <v>0</v>
      </c>
      <c r="U358" s="44">
        <f>IF(Table1[[#This Row],[Initials]]="RM",$AE$10,IF(Table1[[#This Row],[Initials]]="JPH",$AE$11,IF(Table1[[#This Row],[Initials]]="IE",$AE$13,IF(Table1[[#This Row],[Initials]]="JM",$AE$14,1))))</f>
        <v>0.39500000000000002</v>
      </c>
      <c r="V358" s="3">
        <f>Table1[[#This Row],[FTE %]]*Table1[[#This Row],[Time Worked]]</f>
        <v>0.88875000000000004</v>
      </c>
      <c r="W35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358" s="38">
        <f t="shared" si="46"/>
        <v>139.3425</v>
      </c>
      <c r="Y358" s="18">
        <f t="shared" si="47"/>
        <v>0</v>
      </c>
    </row>
    <row r="359" spans="1:25" x14ac:dyDescent="0.25">
      <c r="A359" s="10">
        <f t="shared" si="40"/>
        <v>358</v>
      </c>
      <c r="B359" s="6" t="str">
        <f t="shared" si="41"/>
        <v>72420192638JPH</v>
      </c>
      <c r="C359" s="1" t="s">
        <v>967</v>
      </c>
      <c r="D359" s="1" t="s">
        <v>996</v>
      </c>
      <c r="E359" s="53" t="str">
        <f t="shared" si="42"/>
        <v>Unbilled</v>
      </c>
      <c r="F359" s="1">
        <v>2638</v>
      </c>
      <c r="G359" s="37" t="str">
        <f>VLOOKUP(Table1[[#This Row],[WO'#]],Table2[#All],2,FALSE)</f>
        <v>P&amp;M - 2nd Half 2019 (FY20)</v>
      </c>
      <c r="H359" s="20" t="s">
        <v>996</v>
      </c>
      <c r="I359" s="2">
        <v>43670</v>
      </c>
      <c r="J359" s="4">
        <f t="shared" si="43"/>
        <v>24</v>
      </c>
      <c r="K359" s="3">
        <v>0</v>
      </c>
      <c r="L359" s="3">
        <v>0.5</v>
      </c>
      <c r="M359" s="3">
        <v>0</v>
      </c>
      <c r="N359" s="3">
        <v>0</v>
      </c>
      <c r="O359" s="3">
        <v>0</v>
      </c>
      <c r="P359" s="3">
        <v>0</v>
      </c>
      <c r="Q359" s="3">
        <f t="shared" si="44"/>
        <v>0.5</v>
      </c>
      <c r="R359" s="1" t="s">
        <v>970</v>
      </c>
      <c r="S359" s="1" t="s">
        <v>23</v>
      </c>
      <c r="T359" s="3">
        <f t="shared" si="45"/>
        <v>0</v>
      </c>
      <c r="U359" s="44">
        <f>IF(Table1[[#This Row],[Initials]]="RM",$AE$10,IF(Table1[[#This Row],[Initials]]="JPH",$AE$11,IF(Table1[[#This Row],[Initials]]="IE",$AE$13,IF(Table1[[#This Row],[Initials]]="JM",$AE$14,1))))</f>
        <v>0.53</v>
      </c>
      <c r="V359" s="3">
        <f>Table1[[#This Row],[FTE %]]*Table1[[#This Row],[Time Worked]]</f>
        <v>0.26500000000000001</v>
      </c>
      <c r="W35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59" s="38">
        <f t="shared" si="46"/>
        <v>30.965</v>
      </c>
      <c r="Y359" s="18">
        <f t="shared" si="47"/>
        <v>0</v>
      </c>
    </row>
    <row r="360" spans="1:25" x14ac:dyDescent="0.25">
      <c r="A360" s="10">
        <f t="shared" si="40"/>
        <v>359</v>
      </c>
      <c r="B360" s="6" t="str">
        <f t="shared" si="41"/>
        <v>72420192638RM</v>
      </c>
      <c r="C360" s="1" t="s">
        <v>967</v>
      </c>
      <c r="D360" s="1" t="s">
        <v>996</v>
      </c>
      <c r="E360" s="53" t="str">
        <f t="shared" si="42"/>
        <v>Unbilled</v>
      </c>
      <c r="F360" s="1">
        <v>2638</v>
      </c>
      <c r="G360" s="37" t="str">
        <f>VLOOKUP(Table1[[#This Row],[WO'#]],Table2[#All],2,FALSE)</f>
        <v>P&amp;M - 2nd Half 2019 (FY20)</v>
      </c>
      <c r="H360" s="20" t="s">
        <v>996</v>
      </c>
      <c r="I360" s="2">
        <v>43670</v>
      </c>
      <c r="J360" s="4">
        <f t="shared" si="43"/>
        <v>24</v>
      </c>
      <c r="K360" s="3">
        <v>0.5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f t="shared" si="44"/>
        <v>0.5</v>
      </c>
      <c r="R360" s="1" t="s">
        <v>17</v>
      </c>
      <c r="S360" s="1" t="s">
        <v>23</v>
      </c>
      <c r="T360" s="3">
        <f t="shared" si="45"/>
        <v>0</v>
      </c>
      <c r="U360" s="44">
        <f>IF(Table1[[#This Row],[Initials]]="RM",$AE$10,IF(Table1[[#This Row],[Initials]]="JPH",$AE$11,IF(Table1[[#This Row],[Initials]]="IE",$AE$13,IF(Table1[[#This Row],[Initials]]="JM",$AE$14,1))))</f>
        <v>0.5</v>
      </c>
      <c r="V360" s="3">
        <f>Table1[[#This Row],[FTE %]]*Table1[[#This Row],[Time Worked]]</f>
        <v>0.25</v>
      </c>
      <c r="W36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0" s="38">
        <f t="shared" si="46"/>
        <v>30.965</v>
      </c>
      <c r="Y360" s="18">
        <f t="shared" si="47"/>
        <v>0</v>
      </c>
    </row>
    <row r="361" spans="1:25" x14ac:dyDescent="0.25">
      <c r="A361" s="10">
        <f t="shared" si="40"/>
        <v>360</v>
      </c>
      <c r="B361" s="6" t="str">
        <f t="shared" si="41"/>
        <v>72420192638RM</v>
      </c>
      <c r="C361" s="1" t="s">
        <v>967</v>
      </c>
      <c r="D361" s="1" t="s">
        <v>996</v>
      </c>
      <c r="E361" s="53" t="str">
        <f t="shared" si="42"/>
        <v>Unbilled</v>
      </c>
      <c r="F361" s="1">
        <v>2638</v>
      </c>
      <c r="G361" s="37" t="str">
        <f>VLOOKUP(Table1[[#This Row],[WO'#]],Table2[#All],2,FALSE)</f>
        <v>P&amp;M - 2nd Half 2019 (FY20)</v>
      </c>
      <c r="H361" s="20" t="s">
        <v>996</v>
      </c>
      <c r="I361" s="2">
        <v>43670</v>
      </c>
      <c r="J361" s="4">
        <f t="shared" si="43"/>
        <v>24</v>
      </c>
      <c r="K361" s="3">
        <v>0</v>
      </c>
      <c r="L361" s="3">
        <v>0</v>
      </c>
      <c r="M361" s="3">
        <v>0</v>
      </c>
      <c r="N361" s="3">
        <v>0.5</v>
      </c>
      <c r="O361" s="3">
        <v>0</v>
      </c>
      <c r="P361" s="3">
        <v>0</v>
      </c>
      <c r="Q361" s="3">
        <f t="shared" si="44"/>
        <v>0.5</v>
      </c>
      <c r="R361" s="1" t="s">
        <v>17</v>
      </c>
      <c r="S361" s="1" t="s">
        <v>23</v>
      </c>
      <c r="T361" s="3">
        <f t="shared" si="45"/>
        <v>0</v>
      </c>
      <c r="U361" s="44">
        <f>IF(Table1[[#This Row],[Initials]]="RM",$AE$10,IF(Table1[[#This Row],[Initials]]="JPH",$AE$11,IF(Table1[[#This Row],[Initials]]="IE",$AE$13,IF(Table1[[#This Row],[Initials]]="JM",$AE$14,1))))</f>
        <v>0.5</v>
      </c>
      <c r="V361" s="3">
        <f>Table1[[#This Row],[FTE %]]*Table1[[#This Row],[Time Worked]]</f>
        <v>0.25</v>
      </c>
      <c r="W36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1" s="38">
        <f t="shared" si="46"/>
        <v>30.965</v>
      </c>
      <c r="Y361" s="18">
        <f t="shared" si="47"/>
        <v>0</v>
      </c>
    </row>
    <row r="362" spans="1:25" x14ac:dyDescent="0.25">
      <c r="A362" s="10">
        <f t="shared" si="40"/>
        <v>361</v>
      </c>
      <c r="B362" s="6" t="str">
        <f t="shared" si="41"/>
        <v>72520192638JM</v>
      </c>
      <c r="C362" s="1" t="s">
        <v>967</v>
      </c>
      <c r="D362" s="1" t="s">
        <v>996</v>
      </c>
      <c r="E362" s="53" t="str">
        <f t="shared" si="42"/>
        <v>Unbilled</v>
      </c>
      <c r="F362" s="1">
        <v>2638</v>
      </c>
      <c r="G362" s="37" t="str">
        <f>VLOOKUP(Table1[[#This Row],[WO'#]],Table2[#All],2,FALSE)</f>
        <v>P&amp;M - 2nd Half 2019 (FY20)</v>
      </c>
      <c r="H362" s="20" t="s">
        <v>996</v>
      </c>
      <c r="I362" s="2">
        <v>43671</v>
      </c>
      <c r="J362" s="4">
        <f t="shared" si="43"/>
        <v>25</v>
      </c>
      <c r="K362" s="3">
        <v>0</v>
      </c>
      <c r="L362" s="3">
        <v>0</v>
      </c>
      <c r="M362" s="3">
        <v>0.5</v>
      </c>
      <c r="N362" s="3">
        <v>0</v>
      </c>
      <c r="O362" s="3">
        <v>0</v>
      </c>
      <c r="P362" s="3">
        <v>0</v>
      </c>
      <c r="Q362" s="3">
        <f t="shared" si="44"/>
        <v>0.5</v>
      </c>
      <c r="R362" s="1" t="s">
        <v>972</v>
      </c>
      <c r="S362" s="1" t="s">
        <v>23</v>
      </c>
      <c r="T362" s="3">
        <f t="shared" si="45"/>
        <v>0</v>
      </c>
      <c r="U362" s="44">
        <f>IF(Table1[[#This Row],[Initials]]="RM",$AE$10,IF(Table1[[#This Row],[Initials]]="JPH",$AE$11,IF(Table1[[#This Row],[Initials]]="IE",$AE$13,IF(Table1[[#This Row],[Initials]]="JM",$AE$14,1))))</f>
        <v>0.39500000000000002</v>
      </c>
      <c r="V362" s="3">
        <f>Table1[[#This Row],[FTE %]]*Table1[[#This Row],[Time Worked]]</f>
        <v>0.19750000000000001</v>
      </c>
      <c r="W36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2" s="38">
        <f t="shared" si="46"/>
        <v>30.965</v>
      </c>
      <c r="Y362" s="18">
        <f t="shared" si="47"/>
        <v>0</v>
      </c>
    </row>
    <row r="363" spans="1:25" x14ac:dyDescent="0.25">
      <c r="A363" s="10">
        <f t="shared" si="40"/>
        <v>362</v>
      </c>
      <c r="B363" s="6" t="str">
        <f t="shared" si="41"/>
        <v>72520192638JM</v>
      </c>
      <c r="C363" s="1" t="s">
        <v>967</v>
      </c>
      <c r="D363" s="1" t="s">
        <v>996</v>
      </c>
      <c r="E363" s="53" t="str">
        <f t="shared" si="42"/>
        <v>Unbilled</v>
      </c>
      <c r="F363" s="1">
        <v>2638</v>
      </c>
      <c r="G363" s="37" t="str">
        <f>VLOOKUP(Table1[[#This Row],[WO'#]],Table2[#All],2,FALSE)</f>
        <v>P&amp;M - 2nd Half 2019 (FY20)</v>
      </c>
      <c r="H363" s="20" t="s">
        <v>996</v>
      </c>
      <c r="I363" s="2">
        <v>43671</v>
      </c>
      <c r="J363" s="4">
        <f t="shared" si="43"/>
        <v>25</v>
      </c>
      <c r="K363" s="3">
        <v>5.25</v>
      </c>
      <c r="L363" s="3">
        <v>0</v>
      </c>
      <c r="M363" s="3">
        <v>0</v>
      </c>
      <c r="N363" s="3">
        <v>0</v>
      </c>
      <c r="O363" s="3">
        <v>0</v>
      </c>
      <c r="P363" s="3">
        <v>0</v>
      </c>
      <c r="Q363" s="3">
        <f t="shared" si="44"/>
        <v>5.25</v>
      </c>
      <c r="R363" s="1" t="s">
        <v>972</v>
      </c>
      <c r="S363" s="1" t="s">
        <v>23</v>
      </c>
      <c r="T363" s="3">
        <f t="shared" si="45"/>
        <v>0</v>
      </c>
      <c r="U363" s="44">
        <f>IF(Table1[[#This Row],[Initials]]="RM",$AE$10,IF(Table1[[#This Row],[Initials]]="JPH",$AE$11,IF(Table1[[#This Row],[Initials]]="IE",$AE$13,IF(Table1[[#This Row],[Initials]]="JM",$AE$14,1))))</f>
        <v>0.39500000000000002</v>
      </c>
      <c r="V363" s="3">
        <f>Table1[[#This Row],[FTE %]]*Table1[[#This Row],[Time Worked]]</f>
        <v>2.07375</v>
      </c>
      <c r="W36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325.13249999999999</v>
      </c>
      <c r="X363" s="38">
        <f t="shared" si="46"/>
        <v>325.13249999999999</v>
      </c>
      <c r="Y363" s="18">
        <f t="shared" si="47"/>
        <v>0</v>
      </c>
    </row>
    <row r="364" spans="1:25" x14ac:dyDescent="0.25">
      <c r="A364" s="10">
        <f t="shared" si="40"/>
        <v>363</v>
      </c>
      <c r="B364" s="6" t="str">
        <f t="shared" si="41"/>
        <v>72520192638RM</v>
      </c>
      <c r="C364" s="1" t="s">
        <v>967</v>
      </c>
      <c r="D364" s="1" t="s">
        <v>996</v>
      </c>
      <c r="E364" s="53" t="str">
        <f t="shared" si="42"/>
        <v>Unbilled</v>
      </c>
      <c r="F364" s="1">
        <v>2638</v>
      </c>
      <c r="G364" s="37" t="str">
        <f>VLOOKUP(Table1[[#This Row],[WO'#]],Table2[#All],2,FALSE)</f>
        <v>P&amp;M - 2nd Half 2019 (FY20)</v>
      </c>
      <c r="H364" s="20" t="s">
        <v>996</v>
      </c>
      <c r="I364" s="2">
        <v>43671</v>
      </c>
      <c r="J364" s="4">
        <f t="shared" si="43"/>
        <v>25</v>
      </c>
      <c r="K364" s="3">
        <v>0</v>
      </c>
      <c r="L364" s="3">
        <v>0</v>
      </c>
      <c r="M364" s="3">
        <v>0</v>
      </c>
      <c r="N364" s="3">
        <v>2</v>
      </c>
      <c r="O364" s="3">
        <v>0</v>
      </c>
      <c r="P364" s="3">
        <v>0</v>
      </c>
      <c r="Q364" s="3">
        <f t="shared" si="44"/>
        <v>2</v>
      </c>
      <c r="R364" s="1" t="s">
        <v>17</v>
      </c>
      <c r="S364" s="1" t="s">
        <v>23</v>
      </c>
      <c r="T364" s="3">
        <f t="shared" si="45"/>
        <v>0</v>
      </c>
      <c r="U364" s="44">
        <f>IF(Table1[[#This Row],[Initials]]="RM",$AE$10,IF(Table1[[#This Row],[Initials]]="JPH",$AE$11,IF(Table1[[#This Row],[Initials]]="IE",$AE$13,IF(Table1[[#This Row],[Initials]]="JM",$AE$14,1))))</f>
        <v>0.5</v>
      </c>
      <c r="V364" s="3">
        <f>Table1[[#This Row],[FTE %]]*Table1[[#This Row],[Time Worked]]</f>
        <v>1</v>
      </c>
      <c r="W36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364" s="38">
        <f t="shared" si="46"/>
        <v>123.86</v>
      </c>
      <c r="Y364" s="18">
        <f t="shared" si="47"/>
        <v>0</v>
      </c>
    </row>
    <row r="365" spans="1:25" x14ac:dyDescent="0.25">
      <c r="A365" s="10">
        <f t="shared" si="40"/>
        <v>364</v>
      </c>
      <c r="B365" s="6" t="str">
        <f t="shared" si="41"/>
        <v>72920192638RM</v>
      </c>
      <c r="C365" s="1" t="s">
        <v>967</v>
      </c>
      <c r="D365" s="1" t="s">
        <v>996</v>
      </c>
      <c r="E365" s="53" t="str">
        <f t="shared" si="42"/>
        <v>Unbilled</v>
      </c>
      <c r="F365" s="1">
        <v>2638</v>
      </c>
      <c r="G365" s="37" t="str">
        <f>VLOOKUP(Table1[[#This Row],[WO'#]],Table2[#All],2,FALSE)</f>
        <v>P&amp;M - 2nd Half 2019 (FY20)</v>
      </c>
      <c r="H365" s="20" t="s">
        <v>996</v>
      </c>
      <c r="I365" s="2">
        <v>43675</v>
      </c>
      <c r="J365" s="4">
        <f t="shared" si="43"/>
        <v>29</v>
      </c>
      <c r="K365" s="3">
        <v>0.5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f t="shared" si="44"/>
        <v>0.5</v>
      </c>
      <c r="R365" s="1" t="s">
        <v>17</v>
      </c>
      <c r="S365" s="1" t="s">
        <v>23</v>
      </c>
      <c r="T365" s="3">
        <f t="shared" si="45"/>
        <v>0</v>
      </c>
      <c r="U365" s="44">
        <f>IF(Table1[[#This Row],[Initials]]="RM",$AE$10,IF(Table1[[#This Row],[Initials]]="JPH",$AE$11,IF(Table1[[#This Row],[Initials]]="IE",$AE$13,IF(Table1[[#This Row],[Initials]]="JM",$AE$14,1))))</f>
        <v>0.5</v>
      </c>
      <c r="V365" s="3">
        <f>Table1[[#This Row],[FTE %]]*Table1[[#This Row],[Time Worked]]</f>
        <v>0.25</v>
      </c>
      <c r="W36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5" s="38">
        <f t="shared" si="46"/>
        <v>30.965</v>
      </c>
      <c r="Y365" s="18">
        <f t="shared" si="47"/>
        <v>0</v>
      </c>
    </row>
    <row r="366" spans="1:25" x14ac:dyDescent="0.25">
      <c r="A366" s="10">
        <f t="shared" si="40"/>
        <v>365</v>
      </c>
      <c r="B366" s="6" t="str">
        <f t="shared" si="41"/>
        <v>73020192638JM</v>
      </c>
      <c r="C366" s="1" t="s">
        <v>967</v>
      </c>
      <c r="D366" s="1" t="s">
        <v>996</v>
      </c>
      <c r="E366" s="53" t="str">
        <f t="shared" si="42"/>
        <v>Unbilled</v>
      </c>
      <c r="F366" s="1">
        <v>2638</v>
      </c>
      <c r="G366" s="37" t="str">
        <f>VLOOKUP(Table1[[#This Row],[WO'#]],Table2[#All],2,FALSE)</f>
        <v>P&amp;M - 2nd Half 2019 (FY20)</v>
      </c>
      <c r="H366" s="20" t="s">
        <v>996</v>
      </c>
      <c r="I366" s="2">
        <v>43676</v>
      </c>
      <c r="J366" s="4">
        <f t="shared" si="43"/>
        <v>30</v>
      </c>
      <c r="K366" s="3">
        <v>0</v>
      </c>
      <c r="L366" s="3">
        <v>0</v>
      </c>
      <c r="M366" s="3">
        <v>0.25</v>
      </c>
      <c r="N366" s="3">
        <v>0</v>
      </c>
      <c r="O366" s="3">
        <v>0</v>
      </c>
      <c r="P366" s="3">
        <v>0</v>
      </c>
      <c r="Q366" s="3">
        <f t="shared" si="44"/>
        <v>0.25</v>
      </c>
      <c r="R366" s="1" t="s">
        <v>972</v>
      </c>
      <c r="S366" s="1" t="s">
        <v>23</v>
      </c>
      <c r="T366" s="3">
        <f t="shared" si="45"/>
        <v>0</v>
      </c>
      <c r="U366" s="44">
        <f>IF(Table1[[#This Row],[Initials]]="RM",$AE$10,IF(Table1[[#This Row],[Initials]]="JPH",$AE$11,IF(Table1[[#This Row],[Initials]]="IE",$AE$13,IF(Table1[[#This Row],[Initials]]="JM",$AE$14,1))))</f>
        <v>0.39500000000000002</v>
      </c>
      <c r="V366" s="3">
        <f>Table1[[#This Row],[FTE %]]*Table1[[#This Row],[Time Worked]]</f>
        <v>9.8750000000000004E-2</v>
      </c>
      <c r="W36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66" s="38">
        <f t="shared" si="46"/>
        <v>15.4825</v>
      </c>
      <c r="Y366" s="18">
        <f t="shared" si="47"/>
        <v>0</v>
      </c>
    </row>
    <row r="367" spans="1:25" x14ac:dyDescent="0.25">
      <c r="A367" s="10">
        <f t="shared" si="40"/>
        <v>366</v>
      </c>
      <c r="B367" s="6" t="str">
        <f t="shared" si="41"/>
        <v>73020192638JM</v>
      </c>
      <c r="C367" s="1" t="s">
        <v>967</v>
      </c>
      <c r="D367" s="1" t="s">
        <v>996</v>
      </c>
      <c r="E367" s="53" t="str">
        <f t="shared" si="42"/>
        <v>Unbilled</v>
      </c>
      <c r="F367" s="1">
        <v>2638</v>
      </c>
      <c r="G367" s="37" t="str">
        <f>VLOOKUP(Table1[[#This Row],[WO'#]],Table2[#All],2,FALSE)</f>
        <v>P&amp;M - 2nd Half 2019 (FY20)</v>
      </c>
      <c r="H367" s="20" t="s">
        <v>996</v>
      </c>
      <c r="I367" s="2">
        <v>43676</v>
      </c>
      <c r="J367" s="4">
        <f t="shared" si="43"/>
        <v>30</v>
      </c>
      <c r="K367" s="3">
        <v>0</v>
      </c>
      <c r="L367" s="3">
        <v>0</v>
      </c>
      <c r="M367" s="3">
        <v>0.5</v>
      </c>
      <c r="N367" s="3">
        <v>0</v>
      </c>
      <c r="O367" s="3">
        <v>0</v>
      </c>
      <c r="P367" s="3">
        <v>0</v>
      </c>
      <c r="Q367" s="3">
        <f t="shared" si="44"/>
        <v>0.5</v>
      </c>
      <c r="R367" s="1" t="s">
        <v>972</v>
      </c>
      <c r="S367" s="1" t="s">
        <v>23</v>
      </c>
      <c r="T367" s="3">
        <f t="shared" si="45"/>
        <v>0</v>
      </c>
      <c r="U367" s="44">
        <f>IF(Table1[[#This Row],[Initials]]="RM",$AE$10,IF(Table1[[#This Row],[Initials]]="JPH",$AE$11,IF(Table1[[#This Row],[Initials]]="IE",$AE$13,IF(Table1[[#This Row],[Initials]]="JM",$AE$14,1))))</f>
        <v>0.39500000000000002</v>
      </c>
      <c r="V367" s="3">
        <f>Table1[[#This Row],[FTE %]]*Table1[[#This Row],[Time Worked]]</f>
        <v>0.19750000000000001</v>
      </c>
      <c r="W36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7" s="38">
        <f t="shared" si="46"/>
        <v>30.965</v>
      </c>
      <c r="Y367" s="18">
        <f t="shared" si="47"/>
        <v>0</v>
      </c>
    </row>
    <row r="368" spans="1:25" x14ac:dyDescent="0.25">
      <c r="A368" s="10">
        <f t="shared" si="40"/>
        <v>367</v>
      </c>
      <c r="B368" s="6" t="str">
        <f t="shared" si="41"/>
        <v>73020192638JM</v>
      </c>
      <c r="C368" s="1" t="s">
        <v>967</v>
      </c>
      <c r="D368" s="1" t="s">
        <v>996</v>
      </c>
      <c r="E368" s="53" t="str">
        <f t="shared" si="42"/>
        <v>Unbilled</v>
      </c>
      <c r="F368" s="1">
        <v>2638</v>
      </c>
      <c r="G368" s="37" t="str">
        <f>VLOOKUP(Table1[[#This Row],[WO'#]],Table2[#All],2,FALSE)</f>
        <v>P&amp;M - 2nd Half 2019 (FY20)</v>
      </c>
      <c r="H368" s="20" t="s">
        <v>996</v>
      </c>
      <c r="I368" s="2">
        <v>43676</v>
      </c>
      <c r="J368" s="4">
        <f t="shared" si="43"/>
        <v>30</v>
      </c>
      <c r="K368" s="3">
        <v>0</v>
      </c>
      <c r="L368" s="3">
        <v>0.25</v>
      </c>
      <c r="M368" s="3">
        <v>0</v>
      </c>
      <c r="N368" s="3">
        <v>0</v>
      </c>
      <c r="O368" s="3">
        <v>0</v>
      </c>
      <c r="P368" s="3">
        <v>0</v>
      </c>
      <c r="Q368" s="3">
        <f t="shared" si="44"/>
        <v>0.25</v>
      </c>
      <c r="R368" s="1" t="s">
        <v>972</v>
      </c>
      <c r="S368" s="1" t="s">
        <v>23</v>
      </c>
      <c r="T368" s="3">
        <f t="shared" si="45"/>
        <v>0</v>
      </c>
      <c r="U368" s="44">
        <f>IF(Table1[[#This Row],[Initials]]="RM",$AE$10,IF(Table1[[#This Row],[Initials]]="JPH",$AE$11,IF(Table1[[#This Row],[Initials]]="IE",$AE$13,IF(Table1[[#This Row],[Initials]]="JM",$AE$14,1))))</f>
        <v>0.39500000000000002</v>
      </c>
      <c r="V368" s="3">
        <f>Table1[[#This Row],[FTE %]]*Table1[[#This Row],[Time Worked]]</f>
        <v>9.8750000000000004E-2</v>
      </c>
      <c r="W36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68" s="38">
        <f t="shared" si="46"/>
        <v>15.4825</v>
      </c>
      <c r="Y368" s="18">
        <f t="shared" si="47"/>
        <v>0</v>
      </c>
    </row>
    <row r="369" spans="1:25" x14ac:dyDescent="0.25">
      <c r="A369" s="10">
        <f t="shared" si="40"/>
        <v>368</v>
      </c>
      <c r="B369" s="6" t="str">
        <f t="shared" si="41"/>
        <v>73020192638JM</v>
      </c>
      <c r="C369" s="1" t="s">
        <v>967</v>
      </c>
      <c r="D369" s="1" t="s">
        <v>996</v>
      </c>
      <c r="E369" s="53" t="str">
        <f t="shared" si="42"/>
        <v>Unbilled</v>
      </c>
      <c r="F369" s="1">
        <v>2638</v>
      </c>
      <c r="G369" s="37" t="str">
        <f>VLOOKUP(Table1[[#This Row],[WO'#]],Table2[#All],2,FALSE)</f>
        <v>P&amp;M - 2nd Half 2019 (FY20)</v>
      </c>
      <c r="H369" s="20" t="s">
        <v>996</v>
      </c>
      <c r="I369" s="2">
        <v>43676</v>
      </c>
      <c r="J369" s="4">
        <f t="shared" si="43"/>
        <v>30</v>
      </c>
      <c r="K369" s="3">
        <v>0</v>
      </c>
      <c r="L369" s="3">
        <v>0.5</v>
      </c>
      <c r="M369" s="3">
        <v>0</v>
      </c>
      <c r="N369" s="3">
        <v>0</v>
      </c>
      <c r="O369" s="3">
        <v>0</v>
      </c>
      <c r="P369" s="3">
        <v>0</v>
      </c>
      <c r="Q369" s="3">
        <f t="shared" si="44"/>
        <v>0.5</v>
      </c>
      <c r="R369" s="1" t="s">
        <v>972</v>
      </c>
      <c r="S369" s="1" t="s">
        <v>23</v>
      </c>
      <c r="T369" s="3">
        <f t="shared" si="45"/>
        <v>0</v>
      </c>
      <c r="U369" s="44">
        <f>IF(Table1[[#This Row],[Initials]]="RM",$AE$10,IF(Table1[[#This Row],[Initials]]="JPH",$AE$11,IF(Table1[[#This Row],[Initials]]="IE",$AE$13,IF(Table1[[#This Row],[Initials]]="JM",$AE$14,1))))</f>
        <v>0.39500000000000002</v>
      </c>
      <c r="V369" s="3">
        <f>Table1[[#This Row],[FTE %]]*Table1[[#This Row],[Time Worked]]</f>
        <v>0.19750000000000001</v>
      </c>
      <c r="W36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69" s="38">
        <f t="shared" si="46"/>
        <v>30.965</v>
      </c>
      <c r="Y369" s="18">
        <f t="shared" si="47"/>
        <v>0</v>
      </c>
    </row>
    <row r="370" spans="1:25" x14ac:dyDescent="0.25">
      <c r="A370" s="10">
        <f t="shared" si="40"/>
        <v>369</v>
      </c>
      <c r="B370" s="6" t="str">
        <f t="shared" si="41"/>
        <v>73020192638JM</v>
      </c>
      <c r="C370" s="1" t="s">
        <v>967</v>
      </c>
      <c r="D370" s="1" t="s">
        <v>996</v>
      </c>
      <c r="E370" s="53" t="str">
        <f t="shared" si="42"/>
        <v>Unbilled</v>
      </c>
      <c r="F370" s="1">
        <v>2638</v>
      </c>
      <c r="G370" s="37" t="str">
        <f>VLOOKUP(Table1[[#This Row],[WO'#]],Table2[#All],2,FALSE)</f>
        <v>P&amp;M - 2nd Half 2019 (FY20)</v>
      </c>
      <c r="H370" s="20" t="s">
        <v>996</v>
      </c>
      <c r="I370" s="2">
        <v>43676</v>
      </c>
      <c r="J370" s="4">
        <f t="shared" si="43"/>
        <v>30</v>
      </c>
      <c r="K370" s="3">
        <v>0</v>
      </c>
      <c r="L370" s="3">
        <v>2.25</v>
      </c>
      <c r="M370" s="3">
        <v>0</v>
      </c>
      <c r="N370" s="3">
        <v>0</v>
      </c>
      <c r="O370" s="3">
        <v>0</v>
      </c>
      <c r="P370" s="3">
        <v>0</v>
      </c>
      <c r="Q370" s="3">
        <f t="shared" si="44"/>
        <v>2.25</v>
      </c>
      <c r="R370" s="1" t="s">
        <v>972</v>
      </c>
      <c r="S370" s="1" t="s">
        <v>23</v>
      </c>
      <c r="T370" s="3">
        <f t="shared" si="45"/>
        <v>0</v>
      </c>
      <c r="U370" s="44">
        <f>IF(Table1[[#This Row],[Initials]]="RM",$AE$10,IF(Table1[[#This Row],[Initials]]="JPH",$AE$11,IF(Table1[[#This Row],[Initials]]="IE",$AE$13,IF(Table1[[#This Row],[Initials]]="JM",$AE$14,1))))</f>
        <v>0.39500000000000002</v>
      </c>
      <c r="V370" s="3">
        <f>Table1[[#This Row],[FTE %]]*Table1[[#This Row],[Time Worked]]</f>
        <v>0.88875000000000004</v>
      </c>
      <c r="W37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370" s="38">
        <f t="shared" si="46"/>
        <v>139.3425</v>
      </c>
      <c r="Y370" s="18">
        <f t="shared" si="47"/>
        <v>0</v>
      </c>
    </row>
    <row r="371" spans="1:25" x14ac:dyDescent="0.25">
      <c r="A371" s="10">
        <f t="shared" si="40"/>
        <v>370</v>
      </c>
      <c r="B371" s="6" t="str">
        <f t="shared" si="41"/>
        <v>73020192638JM</v>
      </c>
      <c r="C371" s="1" t="s">
        <v>967</v>
      </c>
      <c r="D371" s="1" t="s">
        <v>996</v>
      </c>
      <c r="E371" s="53" t="str">
        <f t="shared" si="42"/>
        <v>Unbilled</v>
      </c>
      <c r="F371" s="1">
        <v>2638</v>
      </c>
      <c r="G371" s="37" t="str">
        <f>VLOOKUP(Table1[[#This Row],[WO'#]],Table2[#All],2,FALSE)</f>
        <v>P&amp;M - 2nd Half 2019 (FY20)</v>
      </c>
      <c r="H371" s="20" t="s">
        <v>996</v>
      </c>
      <c r="I371" s="2">
        <v>43676</v>
      </c>
      <c r="J371" s="4">
        <f t="shared" si="43"/>
        <v>30</v>
      </c>
      <c r="K371" s="3">
        <v>1.25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  <c r="Q371" s="3">
        <f t="shared" si="44"/>
        <v>1.25</v>
      </c>
      <c r="R371" s="1" t="s">
        <v>972</v>
      </c>
      <c r="S371" s="1" t="s">
        <v>23</v>
      </c>
      <c r="T371" s="3">
        <f t="shared" si="45"/>
        <v>0</v>
      </c>
      <c r="U371" s="44">
        <f>IF(Table1[[#This Row],[Initials]]="RM",$AE$10,IF(Table1[[#This Row],[Initials]]="JPH",$AE$11,IF(Table1[[#This Row],[Initials]]="IE",$AE$13,IF(Table1[[#This Row],[Initials]]="JM",$AE$14,1))))</f>
        <v>0.39500000000000002</v>
      </c>
      <c r="V371" s="3">
        <f>Table1[[#This Row],[FTE %]]*Table1[[#This Row],[Time Worked]]</f>
        <v>0.49375000000000002</v>
      </c>
      <c r="W37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371" s="38">
        <f t="shared" si="46"/>
        <v>77.412499999999994</v>
      </c>
      <c r="Y371" s="18">
        <f t="shared" si="47"/>
        <v>0</v>
      </c>
    </row>
    <row r="372" spans="1:25" x14ac:dyDescent="0.25">
      <c r="A372" s="10">
        <f t="shared" si="40"/>
        <v>371</v>
      </c>
      <c r="B372" s="6" t="str">
        <f t="shared" si="41"/>
        <v>73020192638JPH</v>
      </c>
      <c r="C372" s="1" t="s">
        <v>967</v>
      </c>
      <c r="D372" s="1" t="s">
        <v>996</v>
      </c>
      <c r="E372" s="53" t="str">
        <f t="shared" si="42"/>
        <v>Unbilled</v>
      </c>
      <c r="F372" s="1">
        <v>2638</v>
      </c>
      <c r="G372" s="37" t="str">
        <f>VLOOKUP(Table1[[#This Row],[WO'#]],Table2[#All],2,FALSE)</f>
        <v>P&amp;M - 2nd Half 2019 (FY20)</v>
      </c>
      <c r="H372" s="20" t="s">
        <v>996</v>
      </c>
      <c r="I372" s="2">
        <v>43676</v>
      </c>
      <c r="J372" s="4">
        <f t="shared" si="43"/>
        <v>30</v>
      </c>
      <c r="K372" s="3">
        <v>0</v>
      </c>
      <c r="L372" s="3">
        <v>1</v>
      </c>
      <c r="M372" s="3">
        <v>0</v>
      </c>
      <c r="N372" s="3">
        <v>0</v>
      </c>
      <c r="O372" s="3">
        <v>0</v>
      </c>
      <c r="P372" s="3">
        <v>0</v>
      </c>
      <c r="Q372" s="3">
        <f t="shared" si="44"/>
        <v>1</v>
      </c>
      <c r="R372" s="1" t="s">
        <v>970</v>
      </c>
      <c r="S372" s="1" t="s">
        <v>23</v>
      </c>
      <c r="T372" s="3">
        <f t="shared" si="45"/>
        <v>0</v>
      </c>
      <c r="U372" s="44">
        <f>IF(Table1[[#This Row],[Initials]]="RM",$AE$10,IF(Table1[[#This Row],[Initials]]="JPH",$AE$11,IF(Table1[[#This Row],[Initials]]="IE",$AE$13,IF(Table1[[#This Row],[Initials]]="JM",$AE$14,1))))</f>
        <v>0.53</v>
      </c>
      <c r="V372" s="3">
        <f>Table1[[#This Row],[FTE %]]*Table1[[#This Row],[Time Worked]]</f>
        <v>0.53</v>
      </c>
      <c r="W37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72" s="38">
        <f t="shared" si="46"/>
        <v>61.93</v>
      </c>
      <c r="Y372" s="18">
        <f t="shared" si="47"/>
        <v>0</v>
      </c>
    </row>
    <row r="373" spans="1:25" x14ac:dyDescent="0.25">
      <c r="A373" s="10">
        <f t="shared" si="40"/>
        <v>372</v>
      </c>
      <c r="B373" s="6" t="str">
        <f t="shared" si="41"/>
        <v>73020192638RM</v>
      </c>
      <c r="C373" s="1" t="s">
        <v>967</v>
      </c>
      <c r="D373" s="1" t="s">
        <v>996</v>
      </c>
      <c r="E373" s="53" t="str">
        <f t="shared" si="42"/>
        <v>Unbilled</v>
      </c>
      <c r="F373" s="1">
        <v>2638</v>
      </c>
      <c r="G373" s="37" t="str">
        <f>VLOOKUP(Table1[[#This Row],[WO'#]],Table2[#All],2,FALSE)</f>
        <v>P&amp;M - 2nd Half 2019 (FY20)</v>
      </c>
      <c r="H373" s="20" t="s">
        <v>996</v>
      </c>
      <c r="I373" s="2">
        <v>43676</v>
      </c>
      <c r="J373" s="4">
        <f t="shared" si="43"/>
        <v>30</v>
      </c>
      <c r="K373" s="3">
        <v>1.5</v>
      </c>
      <c r="L373" s="3">
        <v>0</v>
      </c>
      <c r="M373" s="3">
        <v>0</v>
      </c>
      <c r="N373" s="3">
        <v>0</v>
      </c>
      <c r="O373" s="3">
        <v>0</v>
      </c>
      <c r="P373" s="3">
        <v>0</v>
      </c>
      <c r="Q373" s="3">
        <f t="shared" si="44"/>
        <v>1.5</v>
      </c>
      <c r="R373" s="1" t="s">
        <v>17</v>
      </c>
      <c r="S373" s="1" t="s">
        <v>23</v>
      </c>
      <c r="T373" s="3">
        <f t="shared" si="45"/>
        <v>0</v>
      </c>
      <c r="U373" s="44">
        <f>IF(Table1[[#This Row],[Initials]]="RM",$AE$10,IF(Table1[[#This Row],[Initials]]="JPH",$AE$11,IF(Table1[[#This Row],[Initials]]="IE",$AE$13,IF(Table1[[#This Row],[Initials]]="JM",$AE$14,1))))</f>
        <v>0.5</v>
      </c>
      <c r="V373" s="3">
        <f>Table1[[#This Row],[FTE %]]*Table1[[#This Row],[Time Worked]]</f>
        <v>0.75</v>
      </c>
      <c r="W37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73" s="38">
        <f t="shared" si="46"/>
        <v>92.894999999999996</v>
      </c>
      <c r="Y373" s="18">
        <f t="shared" si="47"/>
        <v>0</v>
      </c>
    </row>
    <row r="374" spans="1:25" x14ac:dyDescent="0.25">
      <c r="A374" s="10">
        <f t="shared" si="40"/>
        <v>373</v>
      </c>
      <c r="B374" s="6" t="str">
        <f t="shared" si="41"/>
        <v>73120192638JM</v>
      </c>
      <c r="C374" s="1" t="s">
        <v>967</v>
      </c>
      <c r="D374" s="1" t="s">
        <v>996</v>
      </c>
      <c r="E374" s="53" t="str">
        <f t="shared" si="42"/>
        <v>Unbilled</v>
      </c>
      <c r="F374" s="1">
        <v>2638</v>
      </c>
      <c r="G374" s="37" t="str">
        <f>VLOOKUP(Table1[[#This Row],[WO'#]],Table2[#All],2,FALSE)</f>
        <v>P&amp;M - 2nd Half 2019 (FY20)</v>
      </c>
      <c r="H374" s="20" t="s">
        <v>996</v>
      </c>
      <c r="I374" s="2">
        <v>43677</v>
      </c>
      <c r="J374" s="4">
        <f t="shared" si="43"/>
        <v>31</v>
      </c>
      <c r="K374" s="3">
        <v>0</v>
      </c>
      <c r="L374" s="3">
        <v>0.25</v>
      </c>
      <c r="M374" s="3">
        <v>0</v>
      </c>
      <c r="N374" s="3">
        <v>0</v>
      </c>
      <c r="O374" s="3">
        <v>0</v>
      </c>
      <c r="P374" s="3">
        <v>0</v>
      </c>
      <c r="Q374" s="3">
        <f t="shared" si="44"/>
        <v>0.25</v>
      </c>
      <c r="R374" s="1" t="s">
        <v>972</v>
      </c>
      <c r="S374" s="1" t="s">
        <v>23</v>
      </c>
      <c r="T374" s="3">
        <f t="shared" si="45"/>
        <v>0</v>
      </c>
      <c r="U374" s="44">
        <f>IF(Table1[[#This Row],[Initials]]="RM",$AE$10,IF(Table1[[#This Row],[Initials]]="JPH",$AE$11,IF(Table1[[#This Row],[Initials]]="IE",$AE$13,IF(Table1[[#This Row],[Initials]]="JM",$AE$14,1))))</f>
        <v>0.39500000000000002</v>
      </c>
      <c r="V374" s="3">
        <f>Table1[[#This Row],[FTE %]]*Table1[[#This Row],[Time Worked]]</f>
        <v>9.8750000000000004E-2</v>
      </c>
      <c r="W37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74" s="38">
        <f t="shared" si="46"/>
        <v>15.4825</v>
      </c>
      <c r="Y374" s="18">
        <f t="shared" si="47"/>
        <v>0</v>
      </c>
    </row>
    <row r="375" spans="1:25" x14ac:dyDescent="0.25">
      <c r="A375" s="10">
        <f t="shared" si="40"/>
        <v>374</v>
      </c>
      <c r="B375" s="6" t="str">
        <f t="shared" si="41"/>
        <v>73120192638JM</v>
      </c>
      <c r="C375" s="1" t="s">
        <v>967</v>
      </c>
      <c r="D375" s="1" t="s">
        <v>996</v>
      </c>
      <c r="E375" s="53" t="str">
        <f t="shared" si="42"/>
        <v>Unbilled</v>
      </c>
      <c r="F375" s="1">
        <v>2638</v>
      </c>
      <c r="G375" s="37" t="str">
        <f>VLOOKUP(Table1[[#This Row],[WO'#]],Table2[#All],2,FALSE)</f>
        <v>P&amp;M - 2nd Half 2019 (FY20)</v>
      </c>
      <c r="H375" s="20" t="s">
        <v>996</v>
      </c>
      <c r="I375" s="2">
        <v>43677</v>
      </c>
      <c r="J375" s="4">
        <f t="shared" si="43"/>
        <v>31</v>
      </c>
      <c r="K375" s="3">
        <v>0</v>
      </c>
      <c r="L375" s="3">
        <v>0.25</v>
      </c>
      <c r="M375" s="3">
        <v>0</v>
      </c>
      <c r="N375" s="3">
        <v>0</v>
      </c>
      <c r="O375" s="3">
        <v>0</v>
      </c>
      <c r="P375" s="3">
        <v>0</v>
      </c>
      <c r="Q375" s="3">
        <f t="shared" si="44"/>
        <v>0.25</v>
      </c>
      <c r="R375" s="1" t="s">
        <v>972</v>
      </c>
      <c r="S375" s="1" t="s">
        <v>23</v>
      </c>
      <c r="T375" s="3">
        <f t="shared" si="45"/>
        <v>0</v>
      </c>
      <c r="U375" s="44">
        <f>IF(Table1[[#This Row],[Initials]]="RM",$AE$10,IF(Table1[[#This Row],[Initials]]="JPH",$AE$11,IF(Table1[[#This Row],[Initials]]="IE",$AE$13,IF(Table1[[#This Row],[Initials]]="JM",$AE$14,1))))</f>
        <v>0.39500000000000002</v>
      </c>
      <c r="V375" s="3">
        <f>Table1[[#This Row],[FTE %]]*Table1[[#This Row],[Time Worked]]</f>
        <v>9.8750000000000004E-2</v>
      </c>
      <c r="W37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75" s="38">
        <f t="shared" si="46"/>
        <v>15.4825</v>
      </c>
      <c r="Y375" s="18">
        <f t="shared" si="47"/>
        <v>0</v>
      </c>
    </row>
    <row r="376" spans="1:25" x14ac:dyDescent="0.25">
      <c r="A376" s="10">
        <f t="shared" si="40"/>
        <v>375</v>
      </c>
      <c r="B376" s="6" t="str">
        <f t="shared" si="41"/>
        <v>73120192638JM</v>
      </c>
      <c r="C376" s="1" t="s">
        <v>967</v>
      </c>
      <c r="D376" s="1" t="s">
        <v>996</v>
      </c>
      <c r="E376" s="53" t="str">
        <f t="shared" si="42"/>
        <v>Unbilled</v>
      </c>
      <c r="F376" s="1">
        <v>2638</v>
      </c>
      <c r="G376" s="37" t="str">
        <f>VLOOKUP(Table1[[#This Row],[WO'#]],Table2[#All],2,FALSE)</f>
        <v>P&amp;M - 2nd Half 2019 (FY20)</v>
      </c>
      <c r="H376" s="20" t="s">
        <v>996</v>
      </c>
      <c r="I376" s="2">
        <v>43677</v>
      </c>
      <c r="J376" s="4">
        <f t="shared" si="43"/>
        <v>31</v>
      </c>
      <c r="K376" s="3">
        <v>0</v>
      </c>
      <c r="L376" s="3">
        <v>0</v>
      </c>
      <c r="M376" s="3">
        <v>1.25</v>
      </c>
      <c r="N376" s="3">
        <v>0</v>
      </c>
      <c r="O376" s="3">
        <v>0</v>
      </c>
      <c r="P376" s="3">
        <v>0</v>
      </c>
      <c r="Q376" s="3">
        <f t="shared" si="44"/>
        <v>1.25</v>
      </c>
      <c r="R376" s="1" t="s">
        <v>972</v>
      </c>
      <c r="S376" s="1" t="s">
        <v>23</v>
      </c>
      <c r="T376" s="3">
        <f t="shared" si="45"/>
        <v>0</v>
      </c>
      <c r="U376" s="44">
        <f>IF(Table1[[#This Row],[Initials]]="RM",$AE$10,IF(Table1[[#This Row],[Initials]]="JPH",$AE$11,IF(Table1[[#This Row],[Initials]]="IE",$AE$13,IF(Table1[[#This Row],[Initials]]="JM",$AE$14,1))))</f>
        <v>0.39500000000000002</v>
      </c>
      <c r="V376" s="3">
        <f>Table1[[#This Row],[FTE %]]*Table1[[#This Row],[Time Worked]]</f>
        <v>0.49375000000000002</v>
      </c>
      <c r="W37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376" s="38">
        <f t="shared" si="46"/>
        <v>77.412499999999994</v>
      </c>
      <c r="Y376" s="18">
        <f t="shared" si="47"/>
        <v>0</v>
      </c>
    </row>
    <row r="377" spans="1:25" x14ac:dyDescent="0.25">
      <c r="A377" s="10">
        <f t="shared" si="40"/>
        <v>376</v>
      </c>
      <c r="B377" s="6" t="str">
        <f t="shared" si="41"/>
        <v>73120192638JM</v>
      </c>
      <c r="C377" s="1" t="s">
        <v>967</v>
      </c>
      <c r="D377" s="1" t="s">
        <v>996</v>
      </c>
      <c r="E377" s="53" t="str">
        <f t="shared" si="42"/>
        <v>Unbilled</v>
      </c>
      <c r="F377" s="1">
        <v>2638</v>
      </c>
      <c r="G377" s="37" t="str">
        <f>VLOOKUP(Table1[[#This Row],[WO'#]],Table2[#All],2,FALSE)</f>
        <v>P&amp;M - 2nd Half 2019 (FY20)</v>
      </c>
      <c r="H377" s="20" t="s">
        <v>996</v>
      </c>
      <c r="I377" s="2">
        <v>43677</v>
      </c>
      <c r="J377" s="4">
        <f t="shared" si="43"/>
        <v>31</v>
      </c>
      <c r="K377" s="3">
        <v>7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f t="shared" si="44"/>
        <v>7</v>
      </c>
      <c r="R377" s="1" t="s">
        <v>972</v>
      </c>
      <c r="S377" s="1" t="s">
        <v>23</v>
      </c>
      <c r="T377" s="3">
        <f t="shared" si="45"/>
        <v>0</v>
      </c>
      <c r="U377" s="44">
        <f>IF(Table1[[#This Row],[Initials]]="RM",$AE$10,IF(Table1[[#This Row],[Initials]]="JPH",$AE$11,IF(Table1[[#This Row],[Initials]]="IE",$AE$13,IF(Table1[[#This Row],[Initials]]="JM",$AE$14,1))))</f>
        <v>0.39500000000000002</v>
      </c>
      <c r="V377" s="3">
        <f>Table1[[#This Row],[FTE %]]*Table1[[#This Row],[Time Worked]]</f>
        <v>2.7650000000000001</v>
      </c>
      <c r="W37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433.51</v>
      </c>
      <c r="X377" s="38">
        <f t="shared" si="46"/>
        <v>433.51</v>
      </c>
      <c r="Y377" s="18">
        <f t="shared" si="47"/>
        <v>0</v>
      </c>
    </row>
    <row r="378" spans="1:25" x14ac:dyDescent="0.25">
      <c r="A378" s="10">
        <f t="shared" si="40"/>
        <v>377</v>
      </c>
      <c r="B378" s="6" t="str">
        <f t="shared" si="41"/>
        <v>73120192638JPH</v>
      </c>
      <c r="C378" s="1" t="s">
        <v>967</v>
      </c>
      <c r="D378" s="1" t="s">
        <v>996</v>
      </c>
      <c r="E378" s="53" t="str">
        <f t="shared" si="42"/>
        <v>Unbilled</v>
      </c>
      <c r="F378" s="1">
        <v>2638</v>
      </c>
      <c r="G378" s="37" t="str">
        <f>VLOOKUP(Table1[[#This Row],[WO'#]],Table2[#All],2,FALSE)</f>
        <v>P&amp;M - 2nd Half 2019 (FY20)</v>
      </c>
      <c r="H378" s="20" t="s">
        <v>996</v>
      </c>
      <c r="I378" s="2">
        <v>43677</v>
      </c>
      <c r="J378" s="4">
        <f t="shared" si="43"/>
        <v>31</v>
      </c>
      <c r="K378" s="3">
        <v>0</v>
      </c>
      <c r="L378" s="3">
        <v>1</v>
      </c>
      <c r="M378" s="3">
        <v>0</v>
      </c>
      <c r="N378" s="3">
        <v>0</v>
      </c>
      <c r="O378" s="3">
        <v>0</v>
      </c>
      <c r="P378" s="3">
        <v>0</v>
      </c>
      <c r="Q378" s="3">
        <f t="shared" si="44"/>
        <v>1</v>
      </c>
      <c r="R378" s="1" t="s">
        <v>970</v>
      </c>
      <c r="S378" s="1" t="s">
        <v>23</v>
      </c>
      <c r="T378" s="3">
        <f t="shared" si="45"/>
        <v>0</v>
      </c>
      <c r="U378" s="44">
        <f>IF(Table1[[#This Row],[Initials]]="RM",$AE$10,IF(Table1[[#This Row],[Initials]]="JPH",$AE$11,IF(Table1[[#This Row],[Initials]]="IE",$AE$13,IF(Table1[[#This Row],[Initials]]="JM",$AE$14,1))))</f>
        <v>0.53</v>
      </c>
      <c r="V378" s="3">
        <f>Table1[[#This Row],[FTE %]]*Table1[[#This Row],[Time Worked]]</f>
        <v>0.53</v>
      </c>
      <c r="W37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78" s="38">
        <f t="shared" si="46"/>
        <v>61.93</v>
      </c>
      <c r="Y378" s="18">
        <f t="shared" si="47"/>
        <v>0</v>
      </c>
    </row>
    <row r="379" spans="1:25" x14ac:dyDescent="0.25">
      <c r="A379" s="10">
        <f t="shared" si="40"/>
        <v>378</v>
      </c>
      <c r="B379" s="6" t="str">
        <f t="shared" si="41"/>
        <v>73120192638RM</v>
      </c>
      <c r="C379" s="1" t="s">
        <v>967</v>
      </c>
      <c r="D379" s="1" t="s">
        <v>996</v>
      </c>
      <c r="E379" s="53" t="str">
        <f t="shared" si="42"/>
        <v>Unbilled</v>
      </c>
      <c r="F379" s="1">
        <v>2638</v>
      </c>
      <c r="G379" s="37" t="str">
        <f>VLOOKUP(Table1[[#This Row],[WO'#]],Table2[#All],2,FALSE)</f>
        <v>P&amp;M - 2nd Half 2019 (FY20)</v>
      </c>
      <c r="H379" s="20" t="s">
        <v>996</v>
      </c>
      <c r="I379" s="2">
        <v>43677</v>
      </c>
      <c r="J379" s="4">
        <f t="shared" si="43"/>
        <v>31</v>
      </c>
      <c r="K379" s="3">
        <v>0</v>
      </c>
      <c r="L379" s="3">
        <v>0</v>
      </c>
      <c r="M379" s="3">
        <v>0</v>
      </c>
      <c r="N379" s="3">
        <v>4.5</v>
      </c>
      <c r="O379" s="3">
        <v>0</v>
      </c>
      <c r="P379" s="3">
        <v>0</v>
      </c>
      <c r="Q379" s="3">
        <f t="shared" si="44"/>
        <v>4.5</v>
      </c>
      <c r="R379" s="1" t="s">
        <v>17</v>
      </c>
      <c r="S379" s="1" t="s">
        <v>23</v>
      </c>
      <c r="T379" s="3">
        <f t="shared" si="45"/>
        <v>0</v>
      </c>
      <c r="U379" s="44">
        <f>IF(Table1[[#This Row],[Initials]]="RM",$AE$10,IF(Table1[[#This Row],[Initials]]="JPH",$AE$11,IF(Table1[[#This Row],[Initials]]="IE",$AE$13,IF(Table1[[#This Row],[Initials]]="JM",$AE$14,1))))</f>
        <v>0.5</v>
      </c>
      <c r="V379" s="3">
        <f>Table1[[#This Row],[FTE %]]*Table1[[#This Row],[Time Worked]]</f>
        <v>2.25</v>
      </c>
      <c r="W37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379" s="38">
        <f t="shared" si="46"/>
        <v>278.685</v>
      </c>
      <c r="Y379" s="18">
        <f t="shared" si="47"/>
        <v>0</v>
      </c>
    </row>
    <row r="380" spans="1:25" x14ac:dyDescent="0.25">
      <c r="A380" s="10">
        <f t="shared" si="40"/>
        <v>379</v>
      </c>
      <c r="B380" s="6" t="str">
        <f t="shared" si="41"/>
        <v>8120192638JM</v>
      </c>
      <c r="C380" s="1" t="s">
        <v>967</v>
      </c>
      <c r="D380" s="1" t="s">
        <v>996</v>
      </c>
      <c r="E380" s="53" t="str">
        <f t="shared" si="42"/>
        <v>Unbilled</v>
      </c>
      <c r="F380" s="1">
        <v>2638</v>
      </c>
      <c r="G380" s="37" t="str">
        <f>VLOOKUP(Table1[[#This Row],[WO'#]],Table2[#All],2,FALSE)</f>
        <v>P&amp;M - 2nd Half 2019 (FY20)</v>
      </c>
      <c r="H380" s="20" t="s">
        <v>996</v>
      </c>
      <c r="I380" s="2">
        <v>43678</v>
      </c>
      <c r="J380" s="4">
        <f t="shared" si="43"/>
        <v>1</v>
      </c>
      <c r="K380" s="3">
        <v>0</v>
      </c>
      <c r="L380" s="3">
        <v>0.25</v>
      </c>
      <c r="M380" s="3">
        <v>0</v>
      </c>
      <c r="N380" s="3">
        <v>0</v>
      </c>
      <c r="O380" s="3">
        <v>0</v>
      </c>
      <c r="P380" s="3">
        <v>0</v>
      </c>
      <c r="Q380" s="3">
        <f t="shared" si="44"/>
        <v>0.25</v>
      </c>
      <c r="R380" s="1" t="s">
        <v>972</v>
      </c>
      <c r="S380" s="1" t="s">
        <v>23</v>
      </c>
      <c r="T380" s="3">
        <f t="shared" si="45"/>
        <v>0</v>
      </c>
      <c r="U380" s="44">
        <f>IF(Table1[[#This Row],[Initials]]="RM",$AE$10,IF(Table1[[#This Row],[Initials]]="JPH",$AE$11,IF(Table1[[#This Row],[Initials]]="IE",$AE$13,IF(Table1[[#This Row],[Initials]]="JM",$AE$14,1))))</f>
        <v>0.39500000000000002</v>
      </c>
      <c r="V380" s="3">
        <f>Table1[[#This Row],[FTE %]]*Table1[[#This Row],[Time Worked]]</f>
        <v>9.8750000000000004E-2</v>
      </c>
      <c r="W38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80" s="38">
        <f t="shared" si="46"/>
        <v>15.4825</v>
      </c>
      <c r="Y380" s="18">
        <f t="shared" si="47"/>
        <v>0</v>
      </c>
    </row>
    <row r="381" spans="1:25" x14ac:dyDescent="0.25">
      <c r="A381" s="10">
        <f t="shared" si="40"/>
        <v>380</v>
      </c>
      <c r="B381" s="6" t="str">
        <f t="shared" si="41"/>
        <v>8120192638JM</v>
      </c>
      <c r="C381" s="1" t="s">
        <v>967</v>
      </c>
      <c r="D381" s="1" t="s">
        <v>996</v>
      </c>
      <c r="E381" s="53" t="str">
        <f t="shared" si="42"/>
        <v>Unbilled</v>
      </c>
      <c r="F381" s="1">
        <v>2638</v>
      </c>
      <c r="G381" s="37" t="str">
        <f>VLOOKUP(Table1[[#This Row],[WO'#]],Table2[#All],2,FALSE)</f>
        <v>P&amp;M - 2nd Half 2019 (FY20)</v>
      </c>
      <c r="H381" s="20" t="s">
        <v>996</v>
      </c>
      <c r="I381" s="2">
        <v>43678</v>
      </c>
      <c r="J381" s="4">
        <f t="shared" si="43"/>
        <v>1</v>
      </c>
      <c r="K381" s="3">
        <v>0</v>
      </c>
      <c r="L381" s="3">
        <v>2.5</v>
      </c>
      <c r="M381" s="3">
        <v>0</v>
      </c>
      <c r="N381" s="3">
        <v>0</v>
      </c>
      <c r="O381" s="3">
        <v>0</v>
      </c>
      <c r="P381" s="3">
        <v>0</v>
      </c>
      <c r="Q381" s="3">
        <f t="shared" si="44"/>
        <v>2.5</v>
      </c>
      <c r="R381" s="1" t="s">
        <v>972</v>
      </c>
      <c r="S381" s="1" t="s">
        <v>23</v>
      </c>
      <c r="T381" s="3">
        <f t="shared" si="45"/>
        <v>0</v>
      </c>
      <c r="U381" s="44">
        <f>IF(Table1[[#This Row],[Initials]]="RM",$AE$10,IF(Table1[[#This Row],[Initials]]="JPH",$AE$11,IF(Table1[[#This Row],[Initials]]="IE",$AE$13,IF(Table1[[#This Row],[Initials]]="JM",$AE$14,1))))</f>
        <v>0.39500000000000002</v>
      </c>
      <c r="V381" s="3">
        <f>Table1[[#This Row],[FTE %]]*Table1[[#This Row],[Time Worked]]</f>
        <v>0.98750000000000004</v>
      </c>
      <c r="W38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381" s="38">
        <f t="shared" si="46"/>
        <v>154.82499999999999</v>
      </c>
      <c r="Y381" s="18">
        <f t="shared" si="47"/>
        <v>0</v>
      </c>
    </row>
    <row r="382" spans="1:25" x14ac:dyDescent="0.25">
      <c r="A382" s="10">
        <f t="shared" si="40"/>
        <v>381</v>
      </c>
      <c r="B382" s="6" t="str">
        <f t="shared" si="41"/>
        <v>8120192638JM</v>
      </c>
      <c r="C382" s="1" t="s">
        <v>967</v>
      </c>
      <c r="D382" s="1" t="s">
        <v>996</v>
      </c>
      <c r="E382" s="53" t="str">
        <f t="shared" si="42"/>
        <v>Unbilled</v>
      </c>
      <c r="F382" s="1">
        <v>2638</v>
      </c>
      <c r="G382" s="37" t="str">
        <f>VLOOKUP(Table1[[#This Row],[WO'#]],Table2[#All],2,FALSE)</f>
        <v>P&amp;M - 2nd Half 2019 (FY20)</v>
      </c>
      <c r="H382" s="20" t="s">
        <v>996</v>
      </c>
      <c r="I382" s="2">
        <v>43678</v>
      </c>
      <c r="J382" s="4">
        <f t="shared" si="43"/>
        <v>1</v>
      </c>
      <c r="K382" s="3">
        <v>0</v>
      </c>
      <c r="L382" s="3">
        <v>0</v>
      </c>
      <c r="M382" s="3">
        <v>0.75</v>
      </c>
      <c r="N382" s="3">
        <v>0</v>
      </c>
      <c r="O382" s="3">
        <v>0</v>
      </c>
      <c r="P382" s="3">
        <v>0</v>
      </c>
      <c r="Q382" s="3">
        <f t="shared" si="44"/>
        <v>0.75</v>
      </c>
      <c r="R382" s="1" t="s">
        <v>972</v>
      </c>
      <c r="S382" s="1" t="s">
        <v>23</v>
      </c>
      <c r="T382" s="3">
        <f t="shared" si="45"/>
        <v>0</v>
      </c>
      <c r="U382" s="44">
        <f>IF(Table1[[#This Row],[Initials]]="RM",$AE$10,IF(Table1[[#This Row],[Initials]]="JPH",$AE$11,IF(Table1[[#This Row],[Initials]]="IE",$AE$13,IF(Table1[[#This Row],[Initials]]="JM",$AE$14,1))))</f>
        <v>0.39500000000000002</v>
      </c>
      <c r="V382" s="3">
        <f>Table1[[#This Row],[FTE %]]*Table1[[#This Row],[Time Worked]]</f>
        <v>0.29625000000000001</v>
      </c>
      <c r="W38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82" s="38">
        <f t="shared" si="46"/>
        <v>46.447499999999998</v>
      </c>
      <c r="Y382" s="18">
        <f t="shared" si="47"/>
        <v>0</v>
      </c>
    </row>
    <row r="383" spans="1:25" x14ac:dyDescent="0.25">
      <c r="A383" s="10">
        <f t="shared" si="40"/>
        <v>382</v>
      </c>
      <c r="B383" s="6" t="str">
        <f t="shared" si="41"/>
        <v>8120192638JM</v>
      </c>
      <c r="C383" s="1" t="s">
        <v>967</v>
      </c>
      <c r="D383" s="1" t="s">
        <v>996</v>
      </c>
      <c r="E383" s="53" t="str">
        <f t="shared" si="42"/>
        <v>Unbilled</v>
      </c>
      <c r="F383" s="1">
        <v>2638</v>
      </c>
      <c r="G383" s="37" t="str">
        <f>VLOOKUP(Table1[[#This Row],[WO'#]],Table2[#All],2,FALSE)</f>
        <v>P&amp;M - 2nd Half 2019 (FY20)</v>
      </c>
      <c r="H383" s="20" t="s">
        <v>996</v>
      </c>
      <c r="I383" s="2">
        <v>43678</v>
      </c>
      <c r="J383" s="4">
        <f t="shared" si="43"/>
        <v>1</v>
      </c>
      <c r="K383" s="3">
        <v>1.5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f t="shared" si="44"/>
        <v>1.5</v>
      </c>
      <c r="R383" s="1" t="s">
        <v>972</v>
      </c>
      <c r="S383" s="1" t="s">
        <v>23</v>
      </c>
      <c r="T383" s="3">
        <f t="shared" si="45"/>
        <v>0</v>
      </c>
      <c r="U383" s="44">
        <f>IF(Table1[[#This Row],[Initials]]="RM",$AE$10,IF(Table1[[#This Row],[Initials]]="JPH",$AE$11,IF(Table1[[#This Row],[Initials]]="IE",$AE$13,IF(Table1[[#This Row],[Initials]]="JM",$AE$14,1))))</f>
        <v>0.39500000000000002</v>
      </c>
      <c r="V383" s="3">
        <f>Table1[[#This Row],[FTE %]]*Table1[[#This Row],[Time Worked]]</f>
        <v>0.59250000000000003</v>
      </c>
      <c r="W38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383" s="38">
        <f t="shared" si="46"/>
        <v>92.894999999999996</v>
      </c>
      <c r="Y383" s="18">
        <f t="shared" si="47"/>
        <v>0</v>
      </c>
    </row>
    <row r="384" spans="1:25" x14ac:dyDescent="0.25">
      <c r="A384" s="10">
        <f t="shared" si="40"/>
        <v>383</v>
      </c>
      <c r="B384" s="6" t="str">
        <f t="shared" si="41"/>
        <v>8120192638RM</v>
      </c>
      <c r="C384" s="1" t="s">
        <v>967</v>
      </c>
      <c r="D384" s="1" t="s">
        <v>996</v>
      </c>
      <c r="E384" s="53" t="str">
        <f t="shared" si="42"/>
        <v>Unbilled</v>
      </c>
      <c r="F384" s="1">
        <v>2638</v>
      </c>
      <c r="G384" s="37" t="str">
        <f>VLOOKUP(Table1[[#This Row],[WO'#]],Table2[#All],2,FALSE)</f>
        <v>P&amp;M - 2nd Half 2019 (FY20)</v>
      </c>
      <c r="H384" s="20" t="s">
        <v>996</v>
      </c>
      <c r="I384" s="2">
        <v>43678</v>
      </c>
      <c r="J384" s="4">
        <f t="shared" si="43"/>
        <v>1</v>
      </c>
      <c r="K384" s="3">
        <v>0.5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  <c r="Q384" s="3">
        <f t="shared" si="44"/>
        <v>0.5</v>
      </c>
      <c r="R384" s="1" t="s">
        <v>17</v>
      </c>
      <c r="S384" s="1" t="s">
        <v>23</v>
      </c>
      <c r="T384" s="3">
        <f t="shared" si="45"/>
        <v>0</v>
      </c>
      <c r="U384" s="44">
        <f>IF(Table1[[#This Row],[Initials]]="RM",$AE$10,IF(Table1[[#This Row],[Initials]]="JPH",$AE$11,IF(Table1[[#This Row],[Initials]]="IE",$AE$13,IF(Table1[[#This Row],[Initials]]="JM",$AE$14,1))))</f>
        <v>0.5</v>
      </c>
      <c r="V384" s="3">
        <f>Table1[[#This Row],[FTE %]]*Table1[[#This Row],[Time Worked]]</f>
        <v>0.25</v>
      </c>
      <c r="W38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84" s="38">
        <f t="shared" si="46"/>
        <v>30.965</v>
      </c>
      <c r="Y384" s="18">
        <f t="shared" si="47"/>
        <v>0</v>
      </c>
    </row>
    <row r="385" spans="1:25" x14ac:dyDescent="0.25">
      <c r="A385" s="10">
        <f t="shared" si="40"/>
        <v>384</v>
      </c>
      <c r="B385" s="6" t="str">
        <f t="shared" si="41"/>
        <v>8220192638JM</v>
      </c>
      <c r="C385" s="1" t="s">
        <v>967</v>
      </c>
      <c r="D385" s="1" t="s">
        <v>996</v>
      </c>
      <c r="E385" s="53" t="str">
        <f t="shared" si="42"/>
        <v>Unbilled</v>
      </c>
      <c r="F385" s="1">
        <v>2638</v>
      </c>
      <c r="G385" s="37" t="str">
        <f>VLOOKUP(Table1[[#This Row],[WO'#]],Table2[#All],2,FALSE)</f>
        <v>P&amp;M - 2nd Half 2019 (FY20)</v>
      </c>
      <c r="H385" s="20" t="s">
        <v>996</v>
      </c>
      <c r="I385" s="2">
        <v>43679</v>
      </c>
      <c r="J385" s="4">
        <f t="shared" si="43"/>
        <v>2</v>
      </c>
      <c r="K385" s="3">
        <v>0</v>
      </c>
      <c r="L385" s="3">
        <v>0</v>
      </c>
      <c r="M385" s="3">
        <v>0.5</v>
      </c>
      <c r="N385" s="3">
        <v>0</v>
      </c>
      <c r="O385" s="3">
        <v>0</v>
      </c>
      <c r="P385" s="3">
        <v>0</v>
      </c>
      <c r="Q385" s="3">
        <f t="shared" si="44"/>
        <v>0.5</v>
      </c>
      <c r="R385" s="1" t="s">
        <v>972</v>
      </c>
      <c r="S385" s="1" t="s">
        <v>23</v>
      </c>
      <c r="T385" s="3">
        <f t="shared" si="45"/>
        <v>0</v>
      </c>
      <c r="U385" s="44">
        <f>IF(Table1[[#This Row],[Initials]]="RM",$AE$10,IF(Table1[[#This Row],[Initials]]="JPH",$AE$11,IF(Table1[[#This Row],[Initials]]="IE",$AE$13,IF(Table1[[#This Row],[Initials]]="JM",$AE$14,1))))</f>
        <v>0.39500000000000002</v>
      </c>
      <c r="V385" s="3">
        <f>Table1[[#This Row],[FTE %]]*Table1[[#This Row],[Time Worked]]</f>
        <v>0.19750000000000001</v>
      </c>
      <c r="W38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85" s="38">
        <f t="shared" si="46"/>
        <v>30.965</v>
      </c>
      <c r="Y385" s="18">
        <f t="shared" si="47"/>
        <v>0</v>
      </c>
    </row>
    <row r="386" spans="1:25" x14ac:dyDescent="0.25">
      <c r="A386" s="10">
        <f t="shared" ref="A386:A449" si="48">IF(IFERROR(A385+1,1)=1,1,A385+1)</f>
        <v>385</v>
      </c>
      <c r="B386" s="6" t="str">
        <f t="shared" ref="B386:B449" si="49">IF(I386="","",CONCATENATE(MONTH(I386),DAY(I386),YEAR(I386),F386,R386))</f>
        <v>8220192638JM</v>
      </c>
      <c r="C386" s="1" t="s">
        <v>967</v>
      </c>
      <c r="D386" s="1" t="s">
        <v>996</v>
      </c>
      <c r="E386" s="53" t="str">
        <f t="shared" ref="E386:E449" si="50">IF(ISNUMBER(FIND("GR",D386)),"External",IF(C386="NB","Unbilled",IF(AND(C386="Admin",F386=2642),"Annual",IF(AND(C386="Admin",F386=2643),"Comp",IF(AND(C386="Admin",F386=2640),"FMLA",IF(AND(C386="Admin",F386=2644),"Holiday",IF(AND(C386="Admin",F386=2646),"Sick",IF(AND(C386="Admin",F386=2645),"LWOP",IF(C386="Match","Match",IF(C386="WO","Write Off","Internal"))))))))))</f>
        <v>Unbilled</v>
      </c>
      <c r="F386" s="1">
        <v>2638</v>
      </c>
      <c r="G386" s="37" t="str">
        <f>VLOOKUP(Table1[[#This Row],[WO'#]],Table2[#All],2,FALSE)</f>
        <v>P&amp;M - 2nd Half 2019 (FY20)</v>
      </c>
      <c r="H386" s="20" t="s">
        <v>996</v>
      </c>
      <c r="I386" s="2">
        <v>43679</v>
      </c>
      <c r="J386" s="4">
        <f t="shared" ref="J386:J449" si="51">IF(I386="","",DAY(I386))</f>
        <v>2</v>
      </c>
      <c r="K386" s="3">
        <v>0</v>
      </c>
      <c r="L386" s="3">
        <v>0.75</v>
      </c>
      <c r="M386" s="3">
        <v>0</v>
      </c>
      <c r="N386" s="3">
        <v>0</v>
      </c>
      <c r="O386" s="3">
        <v>0</v>
      </c>
      <c r="P386" s="3">
        <v>0</v>
      </c>
      <c r="Q386" s="3">
        <f t="shared" ref="Q386:Q449" si="52">SUM(K386:P386)</f>
        <v>0.75</v>
      </c>
      <c r="R386" s="1" t="s">
        <v>972</v>
      </c>
      <c r="S386" s="1" t="s">
        <v>23</v>
      </c>
      <c r="T386" s="3">
        <f t="shared" ref="T386:T449" si="53">IF(R386="","",IF(OR(C386="WO",C386="Match",C386="NB",C386="Admin"),0,SUM(K386:P386)))</f>
        <v>0</v>
      </c>
      <c r="U386" s="44">
        <f>IF(Table1[[#This Row],[Initials]]="RM",$AE$10,IF(Table1[[#This Row],[Initials]]="JPH",$AE$11,IF(Table1[[#This Row],[Initials]]="IE",$AE$13,IF(Table1[[#This Row],[Initials]]="JM",$AE$14,1))))</f>
        <v>0.39500000000000002</v>
      </c>
      <c r="V386" s="3">
        <f>Table1[[#This Row],[FTE %]]*Table1[[#This Row],[Time Worked]]</f>
        <v>0.29625000000000001</v>
      </c>
      <c r="W38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86" s="38">
        <f t="shared" ref="X386:X449" si="54">IF(R386="","",IF(OR(C386="Match",C386="Write Off",C386&lt;&gt;"NB",C386="Admin"),0,IF(OR(R386="BOGD",R386="BOGC",R386="BLGDB",R386="BLGCR"),IF(AND(I386&gt;=$AE$3,I386&lt;=$AF$3),P386*$AD$3,IF(AND(I386&gt;=$AE$4,I386&lt;=$AF$4),P386*$AD$4,IF(AND(I386&gt;=$AE$5,I386&lt;=$AF$5),P386*$AD$5,IF(AND(I386&gt;=$AE$6,I386&lt;=$AF$6),P386*$AD$6,P386*$AD$7)))),IF(AND(I386&gt;=$AE$3,I386&lt;=$AF$3),Q386*$AD$3,IF(AND(I386&gt;=$AE$4,I386&lt;=$AF$4),Q386*$AD$4,IF(AND(I386&gt;=$AE$5,I386&lt;=$AF$5),Q386*$AD$5,IF(AND(I386&gt;=$AE$6,I386&lt;=$AF$6),Q386*$AD$6,Q386*$AD$7)))))))</f>
        <v>46.447499999999998</v>
      </c>
      <c r="Y386" s="18">
        <f t="shared" ref="Y386:Y449" si="55">IF(R386="","",IF(OR(C386="Match",C386="WO",C386="NB",C386="Admin"),0,IF(OR(R386="BOGD",R386="BOGC",R386="BLGDB",R386="BLGCR"),IF(AND(I386&gt;=$AE$3,I386&lt;=$AF$3),P386*$AD$3,IF(AND(I386&gt;=$AE$4,I386&lt;=$AF$4),P386*$AD$4,IF(AND(I386&gt;=$AE$5,I386&lt;=$AF$5),P386*$AD$5,IF(AND(I386&gt;=$AE$6,I386&lt;=$AF$6),P386*$AD$6,P386*$AD$7)))),IF(AND(I386&gt;=$AE$3,I386&lt;=$AF$3),Q386*$AD$3,IF(AND(I386&gt;=$AE$4,I386&lt;=$AF$4),Q386*$AD$4,IF(AND(I386&gt;=$AE$5,I386&lt;=$AF$5),Q386*$AD$5,IF(AND(I386&gt;=$AE$6,I386&lt;=$AF$6),Q386*$AD$6,Q386*$AD$7)))))))</f>
        <v>0</v>
      </c>
    </row>
    <row r="387" spans="1:25" x14ac:dyDescent="0.25">
      <c r="A387" s="10">
        <f t="shared" si="48"/>
        <v>386</v>
      </c>
      <c r="B387" s="6" t="str">
        <f t="shared" si="49"/>
        <v>8220192638JM</v>
      </c>
      <c r="C387" s="1" t="s">
        <v>967</v>
      </c>
      <c r="D387" s="1" t="s">
        <v>996</v>
      </c>
      <c r="E387" s="53" t="str">
        <f t="shared" si="50"/>
        <v>Unbilled</v>
      </c>
      <c r="F387" s="1">
        <v>2638</v>
      </c>
      <c r="G387" s="37" t="str">
        <f>VLOOKUP(Table1[[#This Row],[WO'#]],Table2[#All],2,FALSE)</f>
        <v>P&amp;M - 2nd Half 2019 (FY20)</v>
      </c>
      <c r="H387" s="20" t="s">
        <v>996</v>
      </c>
      <c r="I387" s="2">
        <v>43679</v>
      </c>
      <c r="J387" s="4">
        <f t="shared" si="51"/>
        <v>2</v>
      </c>
      <c r="K387" s="3">
        <v>0</v>
      </c>
      <c r="L387" s="3">
        <v>0.75</v>
      </c>
      <c r="M387" s="3">
        <v>0</v>
      </c>
      <c r="N387" s="3">
        <v>0</v>
      </c>
      <c r="O387" s="3">
        <v>0</v>
      </c>
      <c r="P387" s="3">
        <v>0</v>
      </c>
      <c r="Q387" s="3">
        <f t="shared" si="52"/>
        <v>0.75</v>
      </c>
      <c r="R387" s="1" t="s">
        <v>972</v>
      </c>
      <c r="S387" s="1" t="s">
        <v>23</v>
      </c>
      <c r="T387" s="3">
        <f t="shared" si="53"/>
        <v>0</v>
      </c>
      <c r="U387" s="44">
        <f>IF(Table1[[#This Row],[Initials]]="RM",$AE$10,IF(Table1[[#This Row],[Initials]]="JPH",$AE$11,IF(Table1[[#This Row],[Initials]]="IE",$AE$13,IF(Table1[[#This Row],[Initials]]="JM",$AE$14,1))))</f>
        <v>0.39500000000000002</v>
      </c>
      <c r="V387" s="3">
        <f>Table1[[#This Row],[FTE %]]*Table1[[#This Row],[Time Worked]]</f>
        <v>0.29625000000000001</v>
      </c>
      <c r="W38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387" s="38">
        <f t="shared" si="54"/>
        <v>46.447499999999998</v>
      </c>
      <c r="Y387" s="18">
        <f t="shared" si="55"/>
        <v>0</v>
      </c>
    </row>
    <row r="388" spans="1:25" x14ac:dyDescent="0.25">
      <c r="A388" s="10">
        <f t="shared" si="48"/>
        <v>387</v>
      </c>
      <c r="B388" s="6" t="str">
        <f t="shared" si="49"/>
        <v>8220192638JM</v>
      </c>
      <c r="C388" s="1" t="s">
        <v>967</v>
      </c>
      <c r="D388" s="1" t="s">
        <v>996</v>
      </c>
      <c r="E388" s="53" t="str">
        <f t="shared" si="50"/>
        <v>Unbilled</v>
      </c>
      <c r="F388" s="1">
        <v>2638</v>
      </c>
      <c r="G388" s="37" t="str">
        <f>VLOOKUP(Table1[[#This Row],[WO'#]],Table2[#All],2,FALSE)</f>
        <v>P&amp;M - 2nd Half 2019 (FY20)</v>
      </c>
      <c r="H388" s="20" t="s">
        <v>996</v>
      </c>
      <c r="I388" s="2">
        <v>43679</v>
      </c>
      <c r="J388" s="4">
        <f t="shared" si="51"/>
        <v>2</v>
      </c>
      <c r="K388" s="3">
        <v>0</v>
      </c>
      <c r="L388" s="3">
        <v>0.5</v>
      </c>
      <c r="M388" s="3">
        <v>0</v>
      </c>
      <c r="N388" s="3">
        <v>0</v>
      </c>
      <c r="O388" s="3">
        <v>0</v>
      </c>
      <c r="P388" s="3">
        <v>0</v>
      </c>
      <c r="Q388" s="3">
        <f t="shared" si="52"/>
        <v>0.5</v>
      </c>
      <c r="R388" s="1" t="s">
        <v>972</v>
      </c>
      <c r="S388" s="1" t="s">
        <v>23</v>
      </c>
      <c r="T388" s="3">
        <f t="shared" si="53"/>
        <v>0</v>
      </c>
      <c r="U388" s="44">
        <f>IF(Table1[[#This Row],[Initials]]="RM",$AE$10,IF(Table1[[#This Row],[Initials]]="JPH",$AE$11,IF(Table1[[#This Row],[Initials]]="IE",$AE$13,IF(Table1[[#This Row],[Initials]]="JM",$AE$14,1))))</f>
        <v>0.39500000000000002</v>
      </c>
      <c r="V388" s="3">
        <f>Table1[[#This Row],[FTE %]]*Table1[[#This Row],[Time Worked]]</f>
        <v>0.19750000000000001</v>
      </c>
      <c r="W38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88" s="38">
        <f t="shared" si="54"/>
        <v>30.965</v>
      </c>
      <c r="Y388" s="18">
        <f t="shared" si="55"/>
        <v>0</v>
      </c>
    </row>
    <row r="389" spans="1:25" x14ac:dyDescent="0.25">
      <c r="A389" s="10">
        <f t="shared" si="48"/>
        <v>388</v>
      </c>
      <c r="B389" s="6" t="str">
        <f t="shared" si="49"/>
        <v>8520192638IE</v>
      </c>
      <c r="C389" s="1" t="s">
        <v>967</v>
      </c>
      <c r="D389" s="1" t="s">
        <v>996</v>
      </c>
      <c r="E389" s="53" t="str">
        <f t="shared" si="50"/>
        <v>Unbilled</v>
      </c>
      <c r="F389" s="1">
        <v>2638</v>
      </c>
      <c r="G389" s="37" t="str">
        <f>VLOOKUP(Table1[[#This Row],[WO'#]],Table2[#All],2,FALSE)</f>
        <v>P&amp;M - 2nd Half 2019 (FY20)</v>
      </c>
      <c r="H389" s="20" t="s">
        <v>996</v>
      </c>
      <c r="I389" s="2">
        <v>43682</v>
      </c>
      <c r="J389" s="4">
        <f t="shared" si="51"/>
        <v>5</v>
      </c>
      <c r="K389" s="3">
        <v>0.5</v>
      </c>
      <c r="L389" s="3">
        <v>0</v>
      </c>
      <c r="M389" s="3">
        <v>0</v>
      </c>
      <c r="N389" s="3">
        <v>0</v>
      </c>
      <c r="O389" s="3">
        <v>0</v>
      </c>
      <c r="P389" s="3">
        <v>0</v>
      </c>
      <c r="Q389" s="3">
        <f t="shared" si="52"/>
        <v>0.5</v>
      </c>
      <c r="R389" s="1" t="s">
        <v>971</v>
      </c>
      <c r="S389" s="1" t="s">
        <v>23</v>
      </c>
      <c r="T389" s="3">
        <f t="shared" si="53"/>
        <v>0</v>
      </c>
      <c r="U389" s="44">
        <f>IF(Table1[[#This Row],[Initials]]="RM",$AE$10,IF(Table1[[#This Row],[Initials]]="JPH",$AE$11,IF(Table1[[#This Row],[Initials]]="IE",$AE$13,IF(Table1[[#This Row],[Initials]]="JM",$AE$14,1))))</f>
        <v>1</v>
      </c>
      <c r="V389" s="3">
        <f>Table1[[#This Row],[FTE %]]*Table1[[#This Row],[Time Worked]]</f>
        <v>0.5</v>
      </c>
      <c r="W38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89" s="38">
        <f t="shared" si="54"/>
        <v>30.965</v>
      </c>
      <c r="Y389" s="18">
        <f t="shared" si="55"/>
        <v>0</v>
      </c>
    </row>
    <row r="390" spans="1:25" x14ac:dyDescent="0.25">
      <c r="A390" s="10">
        <f t="shared" si="48"/>
        <v>389</v>
      </c>
      <c r="B390" s="6" t="str">
        <f t="shared" si="49"/>
        <v>8520192638IE</v>
      </c>
      <c r="C390" s="1" t="s">
        <v>967</v>
      </c>
      <c r="D390" s="1" t="s">
        <v>996</v>
      </c>
      <c r="E390" s="53" t="str">
        <f t="shared" si="50"/>
        <v>Unbilled</v>
      </c>
      <c r="F390" s="1">
        <v>2638</v>
      </c>
      <c r="G390" s="37" t="str">
        <f>VLOOKUP(Table1[[#This Row],[WO'#]],Table2[#All],2,FALSE)</f>
        <v>P&amp;M - 2nd Half 2019 (FY20)</v>
      </c>
      <c r="H390" s="20" t="s">
        <v>996</v>
      </c>
      <c r="I390" s="2">
        <v>43682</v>
      </c>
      <c r="J390" s="4">
        <f t="shared" si="51"/>
        <v>5</v>
      </c>
      <c r="K390" s="3">
        <v>0</v>
      </c>
      <c r="L390" s="3">
        <v>1</v>
      </c>
      <c r="M390" s="3">
        <v>0</v>
      </c>
      <c r="N390" s="3">
        <v>0</v>
      </c>
      <c r="O390" s="3">
        <v>0</v>
      </c>
      <c r="P390" s="3">
        <v>0</v>
      </c>
      <c r="Q390" s="3">
        <f t="shared" si="52"/>
        <v>1</v>
      </c>
      <c r="R390" s="1" t="s">
        <v>971</v>
      </c>
      <c r="S390" s="1" t="s">
        <v>23</v>
      </c>
      <c r="T390" s="3">
        <f t="shared" si="53"/>
        <v>0</v>
      </c>
      <c r="U390" s="44">
        <f>IF(Table1[[#This Row],[Initials]]="RM",$AE$10,IF(Table1[[#This Row],[Initials]]="JPH",$AE$11,IF(Table1[[#This Row],[Initials]]="IE",$AE$13,IF(Table1[[#This Row],[Initials]]="JM",$AE$14,1))))</f>
        <v>1</v>
      </c>
      <c r="V390" s="3">
        <f>Table1[[#This Row],[FTE %]]*Table1[[#This Row],[Time Worked]]</f>
        <v>1</v>
      </c>
      <c r="W39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90" s="38">
        <f t="shared" si="54"/>
        <v>61.93</v>
      </c>
      <c r="Y390" s="18">
        <f t="shared" si="55"/>
        <v>0</v>
      </c>
    </row>
    <row r="391" spans="1:25" x14ac:dyDescent="0.25">
      <c r="A391" s="10">
        <f t="shared" si="48"/>
        <v>390</v>
      </c>
      <c r="B391" s="6" t="str">
        <f t="shared" si="49"/>
        <v>8520192638JM</v>
      </c>
      <c r="C391" s="1" t="s">
        <v>967</v>
      </c>
      <c r="D391" s="1" t="s">
        <v>996</v>
      </c>
      <c r="E391" s="53" t="str">
        <f t="shared" si="50"/>
        <v>Unbilled</v>
      </c>
      <c r="F391" s="1">
        <v>2638</v>
      </c>
      <c r="G391" s="37" t="str">
        <f>VLOOKUP(Table1[[#This Row],[WO'#]],Table2[#All],2,FALSE)</f>
        <v>P&amp;M - 2nd Half 2019 (FY20)</v>
      </c>
      <c r="H391" s="20" t="s">
        <v>996</v>
      </c>
      <c r="I391" s="2">
        <v>43682</v>
      </c>
      <c r="J391" s="4">
        <f t="shared" si="51"/>
        <v>5</v>
      </c>
      <c r="K391" s="3">
        <v>1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f t="shared" si="52"/>
        <v>1</v>
      </c>
      <c r="R391" s="1" t="s">
        <v>972</v>
      </c>
      <c r="S391" s="1" t="s">
        <v>23</v>
      </c>
      <c r="T391" s="3">
        <f t="shared" si="53"/>
        <v>0</v>
      </c>
      <c r="U391" s="44">
        <f>IF(Table1[[#This Row],[Initials]]="RM",$AE$10,IF(Table1[[#This Row],[Initials]]="JPH",$AE$11,IF(Table1[[#This Row],[Initials]]="IE",$AE$13,IF(Table1[[#This Row],[Initials]]="JM",$AE$14,1))))</f>
        <v>0.39500000000000002</v>
      </c>
      <c r="V391" s="3">
        <f>Table1[[#This Row],[FTE %]]*Table1[[#This Row],[Time Worked]]</f>
        <v>0.39500000000000002</v>
      </c>
      <c r="W39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91" s="38">
        <f t="shared" si="54"/>
        <v>61.93</v>
      </c>
      <c r="Y391" s="18">
        <f t="shared" si="55"/>
        <v>0</v>
      </c>
    </row>
    <row r="392" spans="1:25" x14ac:dyDescent="0.25">
      <c r="A392" s="10">
        <f t="shared" si="48"/>
        <v>391</v>
      </c>
      <c r="B392" s="6" t="str">
        <f t="shared" si="49"/>
        <v>8520192638RM</v>
      </c>
      <c r="C392" s="1" t="s">
        <v>967</v>
      </c>
      <c r="D392" s="1" t="s">
        <v>996</v>
      </c>
      <c r="E392" s="53" t="str">
        <f t="shared" si="50"/>
        <v>Unbilled</v>
      </c>
      <c r="F392" s="1">
        <v>2638</v>
      </c>
      <c r="G392" s="37" t="str">
        <f>VLOOKUP(Table1[[#This Row],[WO'#]],Table2[#All],2,FALSE)</f>
        <v>P&amp;M - 2nd Half 2019 (FY20)</v>
      </c>
      <c r="H392" s="20" t="s">
        <v>996</v>
      </c>
      <c r="I392" s="2">
        <v>43682</v>
      </c>
      <c r="J392" s="4">
        <f t="shared" si="51"/>
        <v>5</v>
      </c>
      <c r="K392" s="3">
        <v>0.25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f t="shared" si="52"/>
        <v>0.25</v>
      </c>
      <c r="R392" s="1" t="s">
        <v>17</v>
      </c>
      <c r="S392" s="1" t="s">
        <v>23</v>
      </c>
      <c r="T392" s="3">
        <f t="shared" si="53"/>
        <v>0</v>
      </c>
      <c r="U392" s="44">
        <f>IF(Table1[[#This Row],[Initials]]="RM",$AE$10,IF(Table1[[#This Row],[Initials]]="JPH",$AE$11,IF(Table1[[#This Row],[Initials]]="IE",$AE$13,IF(Table1[[#This Row],[Initials]]="JM",$AE$14,1))))</f>
        <v>0.5</v>
      </c>
      <c r="V392" s="3">
        <f>Table1[[#This Row],[FTE %]]*Table1[[#This Row],[Time Worked]]</f>
        <v>0.125</v>
      </c>
      <c r="W39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92" s="38">
        <f t="shared" si="54"/>
        <v>15.4825</v>
      </c>
      <c r="Y392" s="18">
        <f t="shared" si="55"/>
        <v>0</v>
      </c>
    </row>
    <row r="393" spans="1:25" x14ac:dyDescent="0.25">
      <c r="A393" s="10">
        <f t="shared" si="48"/>
        <v>392</v>
      </c>
      <c r="B393" s="6" t="str">
        <f t="shared" si="49"/>
        <v>8520192638RM</v>
      </c>
      <c r="C393" s="1" t="s">
        <v>967</v>
      </c>
      <c r="D393" s="1" t="s">
        <v>996</v>
      </c>
      <c r="E393" s="53" t="str">
        <f t="shared" si="50"/>
        <v>Unbilled</v>
      </c>
      <c r="F393" s="1">
        <v>2638</v>
      </c>
      <c r="G393" s="37" t="str">
        <f>VLOOKUP(Table1[[#This Row],[WO'#]],Table2[#All],2,FALSE)</f>
        <v>P&amp;M - 2nd Half 2019 (FY20)</v>
      </c>
      <c r="H393" s="20" t="s">
        <v>996</v>
      </c>
      <c r="I393" s="2">
        <v>43682</v>
      </c>
      <c r="J393" s="4">
        <f t="shared" si="51"/>
        <v>5</v>
      </c>
      <c r="K393" s="3">
        <v>0</v>
      </c>
      <c r="L393" s="3">
        <v>0</v>
      </c>
      <c r="M393" s="3">
        <v>0</v>
      </c>
      <c r="N393" s="3">
        <v>1</v>
      </c>
      <c r="O393" s="3">
        <v>0</v>
      </c>
      <c r="P393" s="3">
        <v>0</v>
      </c>
      <c r="Q393" s="3">
        <f t="shared" si="52"/>
        <v>1</v>
      </c>
      <c r="R393" s="1" t="s">
        <v>17</v>
      </c>
      <c r="S393" s="1" t="s">
        <v>23</v>
      </c>
      <c r="T393" s="3">
        <f t="shared" si="53"/>
        <v>0</v>
      </c>
      <c r="U393" s="44">
        <f>IF(Table1[[#This Row],[Initials]]="RM",$AE$10,IF(Table1[[#This Row],[Initials]]="JPH",$AE$11,IF(Table1[[#This Row],[Initials]]="IE",$AE$13,IF(Table1[[#This Row],[Initials]]="JM",$AE$14,1))))</f>
        <v>0.5</v>
      </c>
      <c r="V393" s="3">
        <f>Table1[[#This Row],[FTE %]]*Table1[[#This Row],[Time Worked]]</f>
        <v>0.5</v>
      </c>
      <c r="W39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93" s="38">
        <f t="shared" si="54"/>
        <v>61.93</v>
      </c>
      <c r="Y393" s="18">
        <f t="shared" si="55"/>
        <v>0</v>
      </c>
    </row>
    <row r="394" spans="1:25" x14ac:dyDescent="0.25">
      <c r="A394" s="10">
        <f t="shared" si="48"/>
        <v>393</v>
      </c>
      <c r="B394" s="6" t="str">
        <f t="shared" si="49"/>
        <v>8620192638JM</v>
      </c>
      <c r="C394" s="1" t="s">
        <v>967</v>
      </c>
      <c r="D394" s="1" t="s">
        <v>996</v>
      </c>
      <c r="E394" s="53" t="str">
        <f t="shared" si="50"/>
        <v>Unbilled</v>
      </c>
      <c r="F394" s="1">
        <v>2638</v>
      </c>
      <c r="G394" s="37" t="str">
        <f>VLOOKUP(Table1[[#This Row],[WO'#]],Table2[#All],2,FALSE)</f>
        <v>P&amp;M - 2nd Half 2019 (FY20)</v>
      </c>
      <c r="H394" s="20" t="s">
        <v>996</v>
      </c>
      <c r="I394" s="2">
        <v>43683</v>
      </c>
      <c r="J394" s="4">
        <f t="shared" si="51"/>
        <v>6</v>
      </c>
      <c r="K394" s="3">
        <v>0</v>
      </c>
      <c r="L394" s="3">
        <v>0.25</v>
      </c>
      <c r="M394" s="3">
        <v>0</v>
      </c>
      <c r="N394" s="3">
        <v>0</v>
      </c>
      <c r="O394" s="3">
        <v>0</v>
      </c>
      <c r="P394" s="3">
        <v>0</v>
      </c>
      <c r="Q394" s="3">
        <f t="shared" si="52"/>
        <v>0.25</v>
      </c>
      <c r="R394" s="1" t="s">
        <v>972</v>
      </c>
      <c r="S394" s="1" t="s">
        <v>23</v>
      </c>
      <c r="T394" s="3">
        <f t="shared" si="53"/>
        <v>0</v>
      </c>
      <c r="U394" s="44">
        <f>IF(Table1[[#This Row],[Initials]]="RM",$AE$10,IF(Table1[[#This Row],[Initials]]="JPH",$AE$11,IF(Table1[[#This Row],[Initials]]="IE",$AE$13,IF(Table1[[#This Row],[Initials]]="JM",$AE$14,1))))</f>
        <v>0.39500000000000002</v>
      </c>
      <c r="V394" s="3">
        <f>Table1[[#This Row],[FTE %]]*Table1[[#This Row],[Time Worked]]</f>
        <v>9.8750000000000004E-2</v>
      </c>
      <c r="W39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94" s="38">
        <f t="shared" si="54"/>
        <v>15.4825</v>
      </c>
      <c r="Y394" s="18">
        <f t="shared" si="55"/>
        <v>0</v>
      </c>
    </row>
    <row r="395" spans="1:25" x14ac:dyDescent="0.25">
      <c r="A395" s="10">
        <f t="shared" si="48"/>
        <v>394</v>
      </c>
      <c r="B395" s="6" t="str">
        <f t="shared" si="49"/>
        <v>8620192638JM</v>
      </c>
      <c r="C395" s="1" t="s">
        <v>967</v>
      </c>
      <c r="D395" s="1" t="s">
        <v>996</v>
      </c>
      <c r="E395" s="53" t="str">
        <f t="shared" si="50"/>
        <v>Unbilled</v>
      </c>
      <c r="F395" s="1">
        <v>2638</v>
      </c>
      <c r="G395" s="37" t="str">
        <f>VLOOKUP(Table1[[#This Row],[WO'#]],Table2[#All],2,FALSE)</f>
        <v>P&amp;M - 2nd Half 2019 (FY20)</v>
      </c>
      <c r="H395" s="20" t="s">
        <v>996</v>
      </c>
      <c r="I395" s="2">
        <v>43683</v>
      </c>
      <c r="J395" s="4">
        <f t="shared" si="51"/>
        <v>6</v>
      </c>
      <c r="K395" s="3">
        <v>0</v>
      </c>
      <c r="L395" s="3">
        <v>0</v>
      </c>
      <c r="M395" s="3">
        <v>5.5</v>
      </c>
      <c r="N395" s="3">
        <v>0</v>
      </c>
      <c r="O395" s="3">
        <v>0</v>
      </c>
      <c r="P395" s="3">
        <v>0</v>
      </c>
      <c r="Q395" s="3">
        <f t="shared" si="52"/>
        <v>5.5</v>
      </c>
      <c r="R395" s="1" t="s">
        <v>972</v>
      </c>
      <c r="S395" s="1" t="s">
        <v>23</v>
      </c>
      <c r="T395" s="3">
        <f t="shared" si="53"/>
        <v>0</v>
      </c>
      <c r="U395" s="44">
        <f>IF(Table1[[#This Row],[Initials]]="RM",$AE$10,IF(Table1[[#This Row],[Initials]]="JPH",$AE$11,IF(Table1[[#This Row],[Initials]]="IE",$AE$13,IF(Table1[[#This Row],[Initials]]="JM",$AE$14,1))))</f>
        <v>0.39500000000000002</v>
      </c>
      <c r="V395" s="3">
        <f>Table1[[#This Row],[FTE %]]*Table1[[#This Row],[Time Worked]]</f>
        <v>2.1725000000000003</v>
      </c>
      <c r="W39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340.61500000000001</v>
      </c>
      <c r="X395" s="38">
        <f t="shared" si="54"/>
        <v>340.61500000000001</v>
      </c>
      <c r="Y395" s="18">
        <f t="shared" si="55"/>
        <v>0</v>
      </c>
    </row>
    <row r="396" spans="1:25" x14ac:dyDescent="0.25">
      <c r="A396" s="10">
        <f t="shared" si="48"/>
        <v>395</v>
      </c>
      <c r="B396" s="6" t="str">
        <f t="shared" si="49"/>
        <v>8620192638RM</v>
      </c>
      <c r="C396" s="1" t="s">
        <v>967</v>
      </c>
      <c r="D396" s="1" t="s">
        <v>996</v>
      </c>
      <c r="E396" s="53" t="str">
        <f t="shared" si="50"/>
        <v>Unbilled</v>
      </c>
      <c r="F396" s="1">
        <v>2638</v>
      </c>
      <c r="G396" s="37" t="str">
        <f>VLOOKUP(Table1[[#This Row],[WO'#]],Table2[#All],2,FALSE)</f>
        <v>P&amp;M - 2nd Half 2019 (FY20)</v>
      </c>
      <c r="H396" s="20" t="s">
        <v>996</v>
      </c>
      <c r="I396" s="2">
        <v>43683</v>
      </c>
      <c r="J396" s="4">
        <f t="shared" si="51"/>
        <v>6</v>
      </c>
      <c r="K396" s="3">
        <v>0.5</v>
      </c>
      <c r="L396" s="3">
        <v>0</v>
      </c>
      <c r="M396" s="3">
        <v>0</v>
      </c>
      <c r="N396" s="3">
        <v>0</v>
      </c>
      <c r="O396" s="3">
        <v>0</v>
      </c>
      <c r="P396" s="3">
        <v>0</v>
      </c>
      <c r="Q396" s="3">
        <f t="shared" si="52"/>
        <v>0.5</v>
      </c>
      <c r="R396" s="1" t="s">
        <v>17</v>
      </c>
      <c r="S396" s="1" t="s">
        <v>23</v>
      </c>
      <c r="T396" s="3">
        <f t="shared" si="53"/>
        <v>0</v>
      </c>
      <c r="U396" s="44">
        <f>IF(Table1[[#This Row],[Initials]]="RM",$AE$10,IF(Table1[[#This Row],[Initials]]="JPH",$AE$11,IF(Table1[[#This Row],[Initials]]="IE",$AE$13,IF(Table1[[#This Row],[Initials]]="JM",$AE$14,1))))</f>
        <v>0.5</v>
      </c>
      <c r="V396" s="3">
        <f>Table1[[#This Row],[FTE %]]*Table1[[#This Row],[Time Worked]]</f>
        <v>0.25</v>
      </c>
      <c r="W39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396" s="38">
        <f t="shared" si="54"/>
        <v>30.965</v>
      </c>
      <c r="Y396" s="18">
        <f t="shared" si="55"/>
        <v>0</v>
      </c>
    </row>
    <row r="397" spans="1:25" x14ac:dyDescent="0.25">
      <c r="A397" s="10">
        <f t="shared" si="48"/>
        <v>396</v>
      </c>
      <c r="B397" s="6" t="str">
        <f t="shared" si="49"/>
        <v>8620192638RM</v>
      </c>
      <c r="C397" s="1" t="s">
        <v>967</v>
      </c>
      <c r="D397" s="1" t="s">
        <v>996</v>
      </c>
      <c r="E397" s="53" t="str">
        <f t="shared" si="50"/>
        <v>Unbilled</v>
      </c>
      <c r="F397" s="1">
        <v>2638</v>
      </c>
      <c r="G397" s="37" t="str">
        <f>VLOOKUP(Table1[[#This Row],[WO'#]],Table2[#All],2,FALSE)</f>
        <v>P&amp;M - 2nd Half 2019 (FY20)</v>
      </c>
      <c r="H397" s="20" t="s">
        <v>996</v>
      </c>
      <c r="I397" s="2">
        <v>43683</v>
      </c>
      <c r="J397" s="4">
        <f t="shared" si="51"/>
        <v>6</v>
      </c>
      <c r="K397" s="3">
        <v>0</v>
      </c>
      <c r="L397" s="3">
        <v>0</v>
      </c>
      <c r="M397" s="3">
        <v>0</v>
      </c>
      <c r="N397" s="3">
        <v>1</v>
      </c>
      <c r="O397" s="3">
        <v>0</v>
      </c>
      <c r="P397" s="3">
        <v>0</v>
      </c>
      <c r="Q397" s="3">
        <f t="shared" si="52"/>
        <v>1</v>
      </c>
      <c r="R397" s="1" t="s">
        <v>17</v>
      </c>
      <c r="S397" s="1" t="s">
        <v>23</v>
      </c>
      <c r="T397" s="3">
        <f t="shared" si="53"/>
        <v>0</v>
      </c>
      <c r="U397" s="44">
        <f>IF(Table1[[#This Row],[Initials]]="RM",$AE$10,IF(Table1[[#This Row],[Initials]]="JPH",$AE$11,IF(Table1[[#This Row],[Initials]]="IE",$AE$13,IF(Table1[[#This Row],[Initials]]="JM",$AE$14,1))))</f>
        <v>0.5</v>
      </c>
      <c r="V397" s="3">
        <f>Table1[[#This Row],[FTE %]]*Table1[[#This Row],[Time Worked]]</f>
        <v>0.5</v>
      </c>
      <c r="W39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397" s="38">
        <f t="shared" si="54"/>
        <v>61.93</v>
      </c>
      <c r="Y397" s="18">
        <f t="shared" si="55"/>
        <v>0</v>
      </c>
    </row>
    <row r="398" spans="1:25" x14ac:dyDescent="0.25">
      <c r="A398" s="10">
        <f t="shared" si="48"/>
        <v>397</v>
      </c>
      <c r="B398" s="6" t="str">
        <f t="shared" si="49"/>
        <v>8720192638IE</v>
      </c>
      <c r="C398" s="1" t="s">
        <v>967</v>
      </c>
      <c r="D398" s="1" t="s">
        <v>996</v>
      </c>
      <c r="E398" s="53" t="str">
        <f t="shared" si="50"/>
        <v>Unbilled</v>
      </c>
      <c r="F398" s="1">
        <v>2638</v>
      </c>
      <c r="G398" s="37" t="str">
        <f>VLOOKUP(Table1[[#This Row],[WO'#]],Table2[#All],2,FALSE)</f>
        <v>P&amp;M - 2nd Half 2019 (FY20)</v>
      </c>
      <c r="H398" s="20" t="s">
        <v>996</v>
      </c>
      <c r="I398" s="2">
        <v>43684</v>
      </c>
      <c r="J398" s="4">
        <f t="shared" si="51"/>
        <v>7</v>
      </c>
      <c r="K398" s="3">
        <v>0.25</v>
      </c>
      <c r="L398" s="3">
        <v>0</v>
      </c>
      <c r="M398" s="3">
        <v>0</v>
      </c>
      <c r="N398" s="3">
        <v>0</v>
      </c>
      <c r="O398" s="3">
        <v>0</v>
      </c>
      <c r="P398" s="3">
        <v>0</v>
      </c>
      <c r="Q398" s="3">
        <f t="shared" si="52"/>
        <v>0.25</v>
      </c>
      <c r="R398" s="1" t="s">
        <v>971</v>
      </c>
      <c r="S398" s="1" t="s">
        <v>23</v>
      </c>
      <c r="T398" s="3">
        <f t="shared" si="53"/>
        <v>0</v>
      </c>
      <c r="U398" s="44">
        <f>IF(Table1[[#This Row],[Initials]]="RM",$AE$10,IF(Table1[[#This Row],[Initials]]="JPH",$AE$11,IF(Table1[[#This Row],[Initials]]="IE",$AE$13,IF(Table1[[#This Row],[Initials]]="JM",$AE$14,1))))</f>
        <v>1</v>
      </c>
      <c r="V398" s="3">
        <f>Table1[[#This Row],[FTE %]]*Table1[[#This Row],[Time Worked]]</f>
        <v>0.25</v>
      </c>
      <c r="W39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98" s="38">
        <f t="shared" si="54"/>
        <v>15.4825</v>
      </c>
      <c r="Y398" s="18">
        <f t="shared" si="55"/>
        <v>0</v>
      </c>
    </row>
    <row r="399" spans="1:25" x14ac:dyDescent="0.25">
      <c r="A399" s="10">
        <f t="shared" si="48"/>
        <v>398</v>
      </c>
      <c r="B399" s="6" t="str">
        <f t="shared" si="49"/>
        <v>8720192638IE</v>
      </c>
      <c r="C399" s="1" t="s">
        <v>967</v>
      </c>
      <c r="D399" s="1" t="s">
        <v>996</v>
      </c>
      <c r="E399" s="53" t="str">
        <f t="shared" si="50"/>
        <v>Unbilled</v>
      </c>
      <c r="F399" s="1">
        <v>2638</v>
      </c>
      <c r="G399" s="37" t="str">
        <f>VLOOKUP(Table1[[#This Row],[WO'#]],Table2[#All],2,FALSE)</f>
        <v>P&amp;M - 2nd Half 2019 (FY20)</v>
      </c>
      <c r="H399" s="20" t="s">
        <v>996</v>
      </c>
      <c r="I399" s="2">
        <v>43684</v>
      </c>
      <c r="J399" s="4">
        <f t="shared" si="51"/>
        <v>7</v>
      </c>
      <c r="K399" s="3">
        <v>0</v>
      </c>
      <c r="L399" s="3">
        <v>0.25</v>
      </c>
      <c r="M399" s="3">
        <v>0</v>
      </c>
      <c r="N399" s="3">
        <v>0</v>
      </c>
      <c r="O399" s="3">
        <v>0</v>
      </c>
      <c r="P399" s="3">
        <v>0</v>
      </c>
      <c r="Q399" s="3">
        <f t="shared" si="52"/>
        <v>0.25</v>
      </c>
      <c r="R399" s="1" t="s">
        <v>971</v>
      </c>
      <c r="S399" s="1" t="s">
        <v>23</v>
      </c>
      <c r="T399" s="3">
        <f t="shared" si="53"/>
        <v>0</v>
      </c>
      <c r="U399" s="44">
        <f>IF(Table1[[#This Row],[Initials]]="RM",$AE$10,IF(Table1[[#This Row],[Initials]]="JPH",$AE$11,IF(Table1[[#This Row],[Initials]]="IE",$AE$13,IF(Table1[[#This Row],[Initials]]="JM",$AE$14,1))))</f>
        <v>1</v>
      </c>
      <c r="V399" s="3">
        <f>Table1[[#This Row],[FTE %]]*Table1[[#This Row],[Time Worked]]</f>
        <v>0.25</v>
      </c>
      <c r="W39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399" s="38">
        <f t="shared" si="54"/>
        <v>15.4825</v>
      </c>
      <c r="Y399" s="18">
        <f t="shared" si="55"/>
        <v>0</v>
      </c>
    </row>
    <row r="400" spans="1:25" x14ac:dyDescent="0.25">
      <c r="A400" s="10">
        <f t="shared" si="48"/>
        <v>399</v>
      </c>
      <c r="B400" s="6" t="str">
        <f t="shared" si="49"/>
        <v>8720192638JM</v>
      </c>
      <c r="C400" s="1" t="s">
        <v>967</v>
      </c>
      <c r="D400" s="1" t="s">
        <v>996</v>
      </c>
      <c r="E400" s="53" t="str">
        <f t="shared" si="50"/>
        <v>Unbilled</v>
      </c>
      <c r="F400" s="1">
        <v>2638</v>
      </c>
      <c r="G400" s="37" t="str">
        <f>VLOOKUP(Table1[[#This Row],[WO'#]],Table2[#All],2,FALSE)</f>
        <v>P&amp;M - 2nd Half 2019 (FY20)</v>
      </c>
      <c r="H400" s="20" t="s">
        <v>996</v>
      </c>
      <c r="I400" s="2">
        <v>43684</v>
      </c>
      <c r="J400" s="4">
        <f t="shared" si="51"/>
        <v>7</v>
      </c>
      <c r="K400" s="3">
        <v>0</v>
      </c>
      <c r="L400" s="3">
        <v>0</v>
      </c>
      <c r="M400" s="3">
        <v>2.25</v>
      </c>
      <c r="N400" s="3">
        <v>0</v>
      </c>
      <c r="O400" s="3">
        <v>0</v>
      </c>
      <c r="P400" s="3">
        <v>0</v>
      </c>
      <c r="Q400" s="3">
        <f t="shared" si="52"/>
        <v>2.25</v>
      </c>
      <c r="R400" s="1" t="s">
        <v>972</v>
      </c>
      <c r="S400" s="1" t="s">
        <v>23</v>
      </c>
      <c r="T400" s="3">
        <f t="shared" si="53"/>
        <v>0</v>
      </c>
      <c r="U400" s="44">
        <f>IF(Table1[[#This Row],[Initials]]="RM",$AE$10,IF(Table1[[#This Row],[Initials]]="JPH",$AE$11,IF(Table1[[#This Row],[Initials]]="IE",$AE$13,IF(Table1[[#This Row],[Initials]]="JM",$AE$14,1))))</f>
        <v>0.39500000000000002</v>
      </c>
      <c r="V400" s="3">
        <f>Table1[[#This Row],[FTE %]]*Table1[[#This Row],[Time Worked]]</f>
        <v>0.88875000000000004</v>
      </c>
      <c r="W40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400" s="38">
        <f t="shared" si="54"/>
        <v>139.3425</v>
      </c>
      <c r="Y400" s="18">
        <f t="shared" si="55"/>
        <v>0</v>
      </c>
    </row>
    <row r="401" spans="1:25" x14ac:dyDescent="0.25">
      <c r="A401" s="10">
        <f t="shared" si="48"/>
        <v>400</v>
      </c>
      <c r="B401" s="6" t="str">
        <f t="shared" si="49"/>
        <v>8720192638JM</v>
      </c>
      <c r="C401" s="1" t="s">
        <v>967</v>
      </c>
      <c r="D401" s="1" t="s">
        <v>996</v>
      </c>
      <c r="E401" s="53" t="str">
        <f t="shared" si="50"/>
        <v>Unbilled</v>
      </c>
      <c r="F401" s="1">
        <v>2638</v>
      </c>
      <c r="G401" s="37" t="str">
        <f>VLOOKUP(Table1[[#This Row],[WO'#]],Table2[#All],2,FALSE)</f>
        <v>P&amp;M - 2nd Half 2019 (FY20)</v>
      </c>
      <c r="H401" s="20" t="s">
        <v>996</v>
      </c>
      <c r="I401" s="2">
        <v>43684</v>
      </c>
      <c r="J401" s="4">
        <f t="shared" si="51"/>
        <v>7</v>
      </c>
      <c r="K401" s="3">
        <v>3</v>
      </c>
      <c r="L401" s="3">
        <v>0</v>
      </c>
      <c r="M401" s="3">
        <v>0</v>
      </c>
      <c r="N401" s="3">
        <v>0</v>
      </c>
      <c r="O401" s="3">
        <v>0</v>
      </c>
      <c r="P401" s="3">
        <v>0</v>
      </c>
      <c r="Q401" s="3">
        <f t="shared" si="52"/>
        <v>3</v>
      </c>
      <c r="R401" s="1" t="s">
        <v>972</v>
      </c>
      <c r="S401" s="1" t="s">
        <v>23</v>
      </c>
      <c r="T401" s="3">
        <f t="shared" si="53"/>
        <v>0</v>
      </c>
      <c r="U401" s="44">
        <f>IF(Table1[[#This Row],[Initials]]="RM",$AE$10,IF(Table1[[#This Row],[Initials]]="JPH",$AE$11,IF(Table1[[#This Row],[Initials]]="IE",$AE$13,IF(Table1[[#This Row],[Initials]]="JM",$AE$14,1))))</f>
        <v>0.39500000000000002</v>
      </c>
      <c r="V401" s="3">
        <f>Table1[[#This Row],[FTE %]]*Table1[[#This Row],[Time Worked]]</f>
        <v>1.1850000000000001</v>
      </c>
      <c r="W40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01" s="38">
        <f t="shared" si="54"/>
        <v>185.79</v>
      </c>
      <c r="Y401" s="18">
        <f t="shared" si="55"/>
        <v>0</v>
      </c>
    </row>
    <row r="402" spans="1:25" x14ac:dyDescent="0.25">
      <c r="A402" s="10">
        <f t="shared" si="48"/>
        <v>401</v>
      </c>
      <c r="B402" s="6" t="str">
        <f t="shared" si="49"/>
        <v>8720192638RM</v>
      </c>
      <c r="C402" s="1" t="s">
        <v>967</v>
      </c>
      <c r="D402" s="1" t="s">
        <v>996</v>
      </c>
      <c r="E402" s="53" t="str">
        <f t="shared" si="50"/>
        <v>Unbilled</v>
      </c>
      <c r="F402" s="1">
        <v>2638</v>
      </c>
      <c r="G402" s="37" t="str">
        <f>VLOOKUP(Table1[[#This Row],[WO'#]],Table2[#All],2,FALSE)</f>
        <v>P&amp;M - 2nd Half 2019 (FY20)</v>
      </c>
      <c r="H402" s="20" t="s">
        <v>996</v>
      </c>
      <c r="I402" s="2">
        <v>43684</v>
      </c>
      <c r="J402" s="4">
        <f t="shared" si="51"/>
        <v>7</v>
      </c>
      <c r="K402" s="3">
        <v>0.5</v>
      </c>
      <c r="L402" s="3">
        <v>0</v>
      </c>
      <c r="M402" s="3">
        <v>0</v>
      </c>
      <c r="N402" s="3">
        <v>0</v>
      </c>
      <c r="O402" s="3">
        <v>0</v>
      </c>
      <c r="P402" s="3">
        <v>0</v>
      </c>
      <c r="Q402" s="3">
        <f t="shared" si="52"/>
        <v>0.5</v>
      </c>
      <c r="R402" s="1" t="s">
        <v>17</v>
      </c>
      <c r="S402" s="1" t="s">
        <v>23</v>
      </c>
      <c r="T402" s="3">
        <f t="shared" si="53"/>
        <v>0</v>
      </c>
      <c r="U402" s="44">
        <f>IF(Table1[[#This Row],[Initials]]="RM",$AE$10,IF(Table1[[#This Row],[Initials]]="JPH",$AE$11,IF(Table1[[#This Row],[Initials]]="IE",$AE$13,IF(Table1[[#This Row],[Initials]]="JM",$AE$14,1))))</f>
        <v>0.5</v>
      </c>
      <c r="V402" s="3">
        <f>Table1[[#This Row],[FTE %]]*Table1[[#This Row],[Time Worked]]</f>
        <v>0.25</v>
      </c>
      <c r="W40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02" s="38">
        <f t="shared" si="54"/>
        <v>30.965</v>
      </c>
      <c r="Y402" s="18">
        <f t="shared" si="55"/>
        <v>0</v>
      </c>
    </row>
    <row r="403" spans="1:25" x14ac:dyDescent="0.25">
      <c r="A403" s="10">
        <f t="shared" si="48"/>
        <v>402</v>
      </c>
      <c r="B403" s="6" t="str">
        <f t="shared" si="49"/>
        <v>8820192638IE</v>
      </c>
      <c r="C403" s="1" t="s">
        <v>967</v>
      </c>
      <c r="D403" s="1" t="s">
        <v>996</v>
      </c>
      <c r="E403" s="53" t="str">
        <f t="shared" si="50"/>
        <v>Unbilled</v>
      </c>
      <c r="F403" s="1">
        <v>2638</v>
      </c>
      <c r="G403" s="37" t="str">
        <f>VLOOKUP(Table1[[#This Row],[WO'#]],Table2[#All],2,FALSE)</f>
        <v>P&amp;M - 2nd Half 2019 (FY20)</v>
      </c>
      <c r="H403" s="20" t="s">
        <v>996</v>
      </c>
      <c r="I403" s="2">
        <v>43685</v>
      </c>
      <c r="J403" s="4">
        <f t="shared" si="51"/>
        <v>8</v>
      </c>
      <c r="K403" s="3">
        <v>0</v>
      </c>
      <c r="L403" s="3">
        <v>0.5</v>
      </c>
      <c r="M403" s="3">
        <v>0</v>
      </c>
      <c r="N403" s="3">
        <v>0</v>
      </c>
      <c r="O403" s="3">
        <v>0</v>
      </c>
      <c r="P403" s="3">
        <v>0</v>
      </c>
      <c r="Q403" s="3">
        <f t="shared" si="52"/>
        <v>0.5</v>
      </c>
      <c r="R403" s="1" t="s">
        <v>971</v>
      </c>
      <c r="S403" s="1" t="s">
        <v>23</v>
      </c>
      <c r="T403" s="3">
        <f t="shared" si="53"/>
        <v>0</v>
      </c>
      <c r="U403" s="44">
        <f>IF(Table1[[#This Row],[Initials]]="RM",$AE$10,IF(Table1[[#This Row],[Initials]]="JPH",$AE$11,IF(Table1[[#This Row],[Initials]]="IE",$AE$13,IF(Table1[[#This Row],[Initials]]="JM",$AE$14,1))))</f>
        <v>1</v>
      </c>
      <c r="V403" s="3">
        <f>Table1[[#This Row],[FTE %]]*Table1[[#This Row],[Time Worked]]</f>
        <v>0.5</v>
      </c>
      <c r="W40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03" s="38">
        <f t="shared" si="54"/>
        <v>30.965</v>
      </c>
      <c r="Y403" s="18">
        <f t="shared" si="55"/>
        <v>0</v>
      </c>
    </row>
    <row r="404" spans="1:25" x14ac:dyDescent="0.25">
      <c r="A404" s="10">
        <f t="shared" si="48"/>
        <v>403</v>
      </c>
      <c r="B404" s="6" t="str">
        <f t="shared" si="49"/>
        <v>8820192638JM</v>
      </c>
      <c r="C404" s="1" t="s">
        <v>967</v>
      </c>
      <c r="D404" s="1" t="s">
        <v>996</v>
      </c>
      <c r="E404" s="53" t="str">
        <f t="shared" si="50"/>
        <v>Unbilled</v>
      </c>
      <c r="F404" s="1">
        <v>2638</v>
      </c>
      <c r="G404" s="37" t="str">
        <f>VLOOKUP(Table1[[#This Row],[WO'#]],Table2[#All],2,FALSE)</f>
        <v>P&amp;M - 2nd Half 2019 (FY20)</v>
      </c>
      <c r="H404" s="20" t="s">
        <v>996</v>
      </c>
      <c r="I404" s="2">
        <v>43685</v>
      </c>
      <c r="J404" s="4">
        <f t="shared" si="51"/>
        <v>8</v>
      </c>
      <c r="K404" s="3">
        <v>0</v>
      </c>
      <c r="L404" s="3">
        <v>0</v>
      </c>
      <c r="M404" s="3">
        <v>1</v>
      </c>
      <c r="N404" s="3">
        <v>0</v>
      </c>
      <c r="O404" s="3">
        <v>0</v>
      </c>
      <c r="P404" s="3">
        <v>0</v>
      </c>
      <c r="Q404" s="3">
        <f t="shared" si="52"/>
        <v>1</v>
      </c>
      <c r="R404" s="1" t="s">
        <v>972</v>
      </c>
      <c r="S404" s="1" t="s">
        <v>23</v>
      </c>
      <c r="T404" s="3">
        <f t="shared" si="53"/>
        <v>0</v>
      </c>
      <c r="U404" s="44">
        <f>IF(Table1[[#This Row],[Initials]]="RM",$AE$10,IF(Table1[[#This Row],[Initials]]="JPH",$AE$11,IF(Table1[[#This Row],[Initials]]="IE",$AE$13,IF(Table1[[#This Row],[Initials]]="JM",$AE$14,1))))</f>
        <v>0.39500000000000002</v>
      </c>
      <c r="V404" s="3">
        <f>Table1[[#This Row],[FTE %]]*Table1[[#This Row],[Time Worked]]</f>
        <v>0.39500000000000002</v>
      </c>
      <c r="W40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04" s="38">
        <f t="shared" si="54"/>
        <v>61.93</v>
      </c>
      <c r="Y404" s="18">
        <f t="shared" si="55"/>
        <v>0</v>
      </c>
    </row>
    <row r="405" spans="1:25" x14ac:dyDescent="0.25">
      <c r="A405" s="10">
        <f t="shared" si="48"/>
        <v>404</v>
      </c>
      <c r="B405" s="6" t="str">
        <f t="shared" si="49"/>
        <v>8820192638JM</v>
      </c>
      <c r="C405" s="1" t="s">
        <v>967</v>
      </c>
      <c r="D405" s="1" t="s">
        <v>996</v>
      </c>
      <c r="E405" s="53" t="str">
        <f t="shared" si="50"/>
        <v>Unbilled</v>
      </c>
      <c r="F405" s="1">
        <v>2638</v>
      </c>
      <c r="G405" s="37" t="str">
        <f>VLOOKUP(Table1[[#This Row],[WO'#]],Table2[#All],2,FALSE)</f>
        <v>P&amp;M - 2nd Half 2019 (FY20)</v>
      </c>
      <c r="H405" s="20" t="s">
        <v>996</v>
      </c>
      <c r="I405" s="2">
        <v>43685</v>
      </c>
      <c r="J405" s="4">
        <f t="shared" si="51"/>
        <v>8</v>
      </c>
      <c r="K405" s="3">
        <v>0</v>
      </c>
      <c r="L405" s="3">
        <v>0.5</v>
      </c>
      <c r="M405" s="3">
        <v>0</v>
      </c>
      <c r="N405" s="3">
        <v>0</v>
      </c>
      <c r="O405" s="3">
        <v>0</v>
      </c>
      <c r="P405" s="3">
        <v>0</v>
      </c>
      <c r="Q405" s="3">
        <f t="shared" si="52"/>
        <v>0.5</v>
      </c>
      <c r="R405" s="1" t="s">
        <v>972</v>
      </c>
      <c r="S405" s="1" t="s">
        <v>23</v>
      </c>
      <c r="T405" s="3">
        <f t="shared" si="53"/>
        <v>0</v>
      </c>
      <c r="U405" s="44">
        <f>IF(Table1[[#This Row],[Initials]]="RM",$AE$10,IF(Table1[[#This Row],[Initials]]="JPH",$AE$11,IF(Table1[[#This Row],[Initials]]="IE",$AE$13,IF(Table1[[#This Row],[Initials]]="JM",$AE$14,1))))</f>
        <v>0.39500000000000002</v>
      </c>
      <c r="V405" s="3">
        <f>Table1[[#This Row],[FTE %]]*Table1[[#This Row],[Time Worked]]</f>
        <v>0.19750000000000001</v>
      </c>
      <c r="W40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05" s="38">
        <f t="shared" si="54"/>
        <v>30.965</v>
      </c>
      <c r="Y405" s="18">
        <f t="shared" si="55"/>
        <v>0</v>
      </c>
    </row>
    <row r="406" spans="1:25" x14ac:dyDescent="0.25">
      <c r="A406" s="10">
        <f t="shared" si="48"/>
        <v>405</v>
      </c>
      <c r="B406" s="6" t="str">
        <f t="shared" si="49"/>
        <v>8820192638JM</v>
      </c>
      <c r="C406" s="1" t="s">
        <v>967</v>
      </c>
      <c r="D406" s="1" t="s">
        <v>996</v>
      </c>
      <c r="E406" s="53" t="str">
        <f t="shared" si="50"/>
        <v>Unbilled</v>
      </c>
      <c r="F406" s="1">
        <v>2638</v>
      </c>
      <c r="G406" s="37" t="str">
        <f>VLOOKUP(Table1[[#This Row],[WO'#]],Table2[#All],2,FALSE)</f>
        <v>P&amp;M - 2nd Half 2019 (FY20)</v>
      </c>
      <c r="H406" s="20" t="s">
        <v>996</v>
      </c>
      <c r="I406" s="2">
        <v>43685</v>
      </c>
      <c r="J406" s="4">
        <f t="shared" si="51"/>
        <v>8</v>
      </c>
      <c r="K406" s="3">
        <v>2.5</v>
      </c>
      <c r="L406" s="3">
        <v>0</v>
      </c>
      <c r="M406" s="3">
        <v>0</v>
      </c>
      <c r="N406" s="3">
        <v>0</v>
      </c>
      <c r="O406" s="3">
        <v>0</v>
      </c>
      <c r="P406" s="3">
        <v>0</v>
      </c>
      <c r="Q406" s="3">
        <f t="shared" si="52"/>
        <v>2.5</v>
      </c>
      <c r="R406" s="1" t="s">
        <v>972</v>
      </c>
      <c r="S406" s="1" t="s">
        <v>23</v>
      </c>
      <c r="T406" s="3">
        <f t="shared" si="53"/>
        <v>0</v>
      </c>
      <c r="U406" s="44">
        <f>IF(Table1[[#This Row],[Initials]]="RM",$AE$10,IF(Table1[[#This Row],[Initials]]="JPH",$AE$11,IF(Table1[[#This Row],[Initials]]="IE",$AE$13,IF(Table1[[#This Row],[Initials]]="JM",$AE$14,1))))</f>
        <v>0.39500000000000002</v>
      </c>
      <c r="V406" s="3">
        <f>Table1[[#This Row],[FTE %]]*Table1[[#This Row],[Time Worked]]</f>
        <v>0.98750000000000004</v>
      </c>
      <c r="W40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406" s="38">
        <f t="shared" si="54"/>
        <v>154.82499999999999</v>
      </c>
      <c r="Y406" s="18">
        <f t="shared" si="55"/>
        <v>0</v>
      </c>
    </row>
    <row r="407" spans="1:25" x14ac:dyDescent="0.25">
      <c r="A407" s="10">
        <f t="shared" si="48"/>
        <v>406</v>
      </c>
      <c r="B407" s="6" t="str">
        <f t="shared" si="49"/>
        <v>8820192638RM</v>
      </c>
      <c r="C407" s="1" t="s">
        <v>967</v>
      </c>
      <c r="D407" s="1" t="s">
        <v>996</v>
      </c>
      <c r="E407" s="53" t="str">
        <f t="shared" si="50"/>
        <v>Unbilled</v>
      </c>
      <c r="F407" s="1">
        <v>2638</v>
      </c>
      <c r="G407" s="37" t="str">
        <f>VLOOKUP(Table1[[#This Row],[WO'#]],Table2[#All],2,FALSE)</f>
        <v>P&amp;M - 2nd Half 2019 (FY20)</v>
      </c>
      <c r="H407" s="20" t="s">
        <v>996</v>
      </c>
      <c r="I407" s="2">
        <v>43685</v>
      </c>
      <c r="J407" s="4">
        <f t="shared" si="51"/>
        <v>8</v>
      </c>
      <c r="K407" s="3">
        <v>0.5</v>
      </c>
      <c r="L407" s="3">
        <v>0</v>
      </c>
      <c r="M407" s="3">
        <v>0</v>
      </c>
      <c r="N407" s="3">
        <v>0</v>
      </c>
      <c r="O407" s="3">
        <v>0</v>
      </c>
      <c r="P407" s="3">
        <v>0</v>
      </c>
      <c r="Q407" s="3">
        <f t="shared" si="52"/>
        <v>0.5</v>
      </c>
      <c r="R407" s="1" t="s">
        <v>17</v>
      </c>
      <c r="S407" s="1" t="s">
        <v>23</v>
      </c>
      <c r="T407" s="3">
        <f t="shared" si="53"/>
        <v>0</v>
      </c>
      <c r="U407" s="44">
        <f>IF(Table1[[#This Row],[Initials]]="RM",$AE$10,IF(Table1[[#This Row],[Initials]]="JPH",$AE$11,IF(Table1[[#This Row],[Initials]]="IE",$AE$13,IF(Table1[[#This Row],[Initials]]="JM",$AE$14,1))))</f>
        <v>0.5</v>
      </c>
      <c r="V407" s="3">
        <f>Table1[[#This Row],[FTE %]]*Table1[[#This Row],[Time Worked]]</f>
        <v>0.25</v>
      </c>
      <c r="W40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07" s="38">
        <f t="shared" si="54"/>
        <v>30.965</v>
      </c>
      <c r="Y407" s="18">
        <f t="shared" si="55"/>
        <v>0</v>
      </c>
    </row>
    <row r="408" spans="1:25" x14ac:dyDescent="0.25">
      <c r="A408" s="10">
        <f t="shared" si="48"/>
        <v>407</v>
      </c>
      <c r="B408" s="6" t="str">
        <f t="shared" si="49"/>
        <v>8920192638JM</v>
      </c>
      <c r="C408" s="1" t="s">
        <v>967</v>
      </c>
      <c r="D408" s="1" t="s">
        <v>996</v>
      </c>
      <c r="E408" s="53" t="str">
        <f t="shared" si="50"/>
        <v>Unbilled</v>
      </c>
      <c r="F408" s="1">
        <v>2638</v>
      </c>
      <c r="G408" s="37" t="str">
        <f>VLOOKUP(Table1[[#This Row],[WO'#]],Table2[#All],2,FALSE)</f>
        <v>P&amp;M - 2nd Half 2019 (FY20)</v>
      </c>
      <c r="H408" s="20" t="s">
        <v>996</v>
      </c>
      <c r="I408" s="2">
        <v>43686</v>
      </c>
      <c r="J408" s="4">
        <f t="shared" si="51"/>
        <v>9</v>
      </c>
      <c r="K408" s="3">
        <v>0</v>
      </c>
      <c r="L408" s="3">
        <v>0</v>
      </c>
      <c r="M408" s="3">
        <v>1.25</v>
      </c>
      <c r="N408" s="3">
        <v>0</v>
      </c>
      <c r="O408" s="3">
        <v>0</v>
      </c>
      <c r="P408" s="3">
        <v>0</v>
      </c>
      <c r="Q408" s="3">
        <f t="shared" si="52"/>
        <v>1.25</v>
      </c>
      <c r="R408" s="1" t="s">
        <v>972</v>
      </c>
      <c r="S408" s="1" t="s">
        <v>23</v>
      </c>
      <c r="T408" s="3">
        <f t="shared" si="53"/>
        <v>0</v>
      </c>
      <c r="U408" s="44">
        <f>IF(Table1[[#This Row],[Initials]]="RM",$AE$10,IF(Table1[[#This Row],[Initials]]="JPH",$AE$11,IF(Table1[[#This Row],[Initials]]="IE",$AE$13,IF(Table1[[#This Row],[Initials]]="JM",$AE$14,1))))</f>
        <v>0.39500000000000002</v>
      </c>
      <c r="V408" s="3">
        <f>Table1[[#This Row],[FTE %]]*Table1[[#This Row],[Time Worked]]</f>
        <v>0.49375000000000002</v>
      </c>
      <c r="W40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408" s="38">
        <f t="shared" si="54"/>
        <v>77.412499999999994</v>
      </c>
      <c r="Y408" s="18">
        <f t="shared" si="55"/>
        <v>0</v>
      </c>
    </row>
    <row r="409" spans="1:25" x14ac:dyDescent="0.25">
      <c r="A409" s="10">
        <f t="shared" si="48"/>
        <v>408</v>
      </c>
      <c r="B409" s="6" t="str">
        <f t="shared" si="49"/>
        <v>8920192638JM</v>
      </c>
      <c r="C409" s="1" t="s">
        <v>967</v>
      </c>
      <c r="D409" s="1" t="s">
        <v>996</v>
      </c>
      <c r="E409" s="53" t="str">
        <f t="shared" si="50"/>
        <v>Unbilled</v>
      </c>
      <c r="F409" s="1">
        <v>2638</v>
      </c>
      <c r="G409" s="37" t="str">
        <f>VLOOKUP(Table1[[#This Row],[WO'#]],Table2[#All],2,FALSE)</f>
        <v>P&amp;M - 2nd Half 2019 (FY20)</v>
      </c>
      <c r="H409" s="20" t="s">
        <v>996</v>
      </c>
      <c r="I409" s="2">
        <v>43686</v>
      </c>
      <c r="J409" s="4">
        <f t="shared" si="51"/>
        <v>9</v>
      </c>
      <c r="K409" s="3">
        <v>0</v>
      </c>
      <c r="L409" s="3">
        <v>0.25</v>
      </c>
      <c r="M409" s="3">
        <v>0</v>
      </c>
      <c r="N409" s="3">
        <v>0</v>
      </c>
      <c r="O409" s="3">
        <v>0</v>
      </c>
      <c r="P409" s="3">
        <v>0</v>
      </c>
      <c r="Q409" s="3">
        <f t="shared" si="52"/>
        <v>0.25</v>
      </c>
      <c r="R409" s="1" t="s">
        <v>972</v>
      </c>
      <c r="S409" s="1" t="s">
        <v>23</v>
      </c>
      <c r="T409" s="3">
        <f t="shared" si="53"/>
        <v>0</v>
      </c>
      <c r="U409" s="44">
        <f>IF(Table1[[#This Row],[Initials]]="RM",$AE$10,IF(Table1[[#This Row],[Initials]]="JPH",$AE$11,IF(Table1[[#This Row],[Initials]]="IE",$AE$13,IF(Table1[[#This Row],[Initials]]="JM",$AE$14,1))))</f>
        <v>0.39500000000000002</v>
      </c>
      <c r="V409" s="3">
        <f>Table1[[#This Row],[FTE %]]*Table1[[#This Row],[Time Worked]]</f>
        <v>9.8750000000000004E-2</v>
      </c>
      <c r="W40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09" s="38">
        <f t="shared" si="54"/>
        <v>15.4825</v>
      </c>
      <c r="Y409" s="18">
        <f t="shared" si="55"/>
        <v>0</v>
      </c>
    </row>
    <row r="410" spans="1:25" x14ac:dyDescent="0.25">
      <c r="A410" s="10">
        <f t="shared" si="48"/>
        <v>409</v>
      </c>
      <c r="B410" s="6" t="str">
        <f t="shared" si="49"/>
        <v>8920192638JM</v>
      </c>
      <c r="C410" s="1" t="s">
        <v>967</v>
      </c>
      <c r="D410" s="1" t="s">
        <v>996</v>
      </c>
      <c r="E410" s="53" t="str">
        <f t="shared" si="50"/>
        <v>Unbilled</v>
      </c>
      <c r="F410" s="1">
        <v>2638</v>
      </c>
      <c r="G410" s="37" t="str">
        <f>VLOOKUP(Table1[[#This Row],[WO'#]],Table2[#All],2,FALSE)</f>
        <v>P&amp;M - 2nd Half 2019 (FY20)</v>
      </c>
      <c r="H410" s="20" t="s">
        <v>996</v>
      </c>
      <c r="I410" s="2">
        <v>43686</v>
      </c>
      <c r="J410" s="4">
        <f t="shared" si="51"/>
        <v>9</v>
      </c>
      <c r="K410" s="3">
        <v>2.5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  <c r="Q410" s="3">
        <f t="shared" si="52"/>
        <v>2.5</v>
      </c>
      <c r="R410" s="1" t="s">
        <v>972</v>
      </c>
      <c r="S410" s="1" t="s">
        <v>23</v>
      </c>
      <c r="T410" s="3">
        <f t="shared" si="53"/>
        <v>0</v>
      </c>
      <c r="U410" s="44">
        <f>IF(Table1[[#This Row],[Initials]]="RM",$AE$10,IF(Table1[[#This Row],[Initials]]="JPH",$AE$11,IF(Table1[[#This Row],[Initials]]="IE",$AE$13,IF(Table1[[#This Row],[Initials]]="JM",$AE$14,1))))</f>
        <v>0.39500000000000002</v>
      </c>
      <c r="V410" s="3">
        <f>Table1[[#This Row],[FTE %]]*Table1[[#This Row],[Time Worked]]</f>
        <v>0.98750000000000004</v>
      </c>
      <c r="W4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410" s="38">
        <f t="shared" si="54"/>
        <v>154.82499999999999</v>
      </c>
      <c r="Y410" s="18">
        <f t="shared" si="55"/>
        <v>0</v>
      </c>
    </row>
    <row r="411" spans="1:25" x14ac:dyDescent="0.25">
      <c r="A411" s="10">
        <f t="shared" si="48"/>
        <v>410</v>
      </c>
      <c r="B411" s="6" t="str">
        <f t="shared" si="49"/>
        <v>8920192638JPH</v>
      </c>
      <c r="C411" s="1" t="s">
        <v>967</v>
      </c>
      <c r="D411" s="1" t="s">
        <v>996</v>
      </c>
      <c r="E411" s="53" t="str">
        <f t="shared" si="50"/>
        <v>Unbilled</v>
      </c>
      <c r="F411" s="1">
        <v>2638</v>
      </c>
      <c r="G411" s="37" t="str">
        <f>VLOOKUP(Table1[[#This Row],[WO'#]],Table2[#All],2,FALSE)</f>
        <v>P&amp;M - 2nd Half 2019 (FY20)</v>
      </c>
      <c r="H411" s="20" t="s">
        <v>996</v>
      </c>
      <c r="I411" s="2">
        <v>43686</v>
      </c>
      <c r="J411" s="4">
        <f t="shared" si="51"/>
        <v>9</v>
      </c>
      <c r="K411" s="3">
        <v>0</v>
      </c>
      <c r="L411" s="3">
        <v>0</v>
      </c>
      <c r="M411" s="3">
        <v>4.25</v>
      </c>
      <c r="N411" s="3">
        <v>0</v>
      </c>
      <c r="O411" s="3">
        <v>0</v>
      </c>
      <c r="P411" s="3">
        <v>0</v>
      </c>
      <c r="Q411" s="3">
        <f t="shared" si="52"/>
        <v>4.25</v>
      </c>
      <c r="R411" s="1" t="s">
        <v>970</v>
      </c>
      <c r="S411" s="1" t="s">
        <v>23</v>
      </c>
      <c r="T411" s="3">
        <f t="shared" si="53"/>
        <v>0</v>
      </c>
      <c r="U411" s="44">
        <f>IF(Table1[[#This Row],[Initials]]="RM",$AE$10,IF(Table1[[#This Row],[Initials]]="JPH",$AE$11,IF(Table1[[#This Row],[Initials]]="IE",$AE$13,IF(Table1[[#This Row],[Initials]]="JM",$AE$14,1))))</f>
        <v>0.53</v>
      </c>
      <c r="V411" s="3">
        <f>Table1[[#This Row],[FTE %]]*Table1[[#This Row],[Time Worked]]</f>
        <v>2.2524999999999999</v>
      </c>
      <c r="W4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411" s="38">
        <f t="shared" si="54"/>
        <v>263.20249999999999</v>
      </c>
      <c r="Y411" s="18">
        <f t="shared" si="55"/>
        <v>0</v>
      </c>
    </row>
    <row r="412" spans="1:25" x14ac:dyDescent="0.25">
      <c r="A412" s="10">
        <f t="shared" si="48"/>
        <v>411</v>
      </c>
      <c r="B412" s="6" t="str">
        <f t="shared" si="49"/>
        <v>81220192638JM</v>
      </c>
      <c r="C412" s="1" t="s">
        <v>967</v>
      </c>
      <c r="D412" s="1" t="s">
        <v>996</v>
      </c>
      <c r="E412" s="53" t="str">
        <f t="shared" si="50"/>
        <v>Unbilled</v>
      </c>
      <c r="F412" s="1">
        <v>2638</v>
      </c>
      <c r="G412" s="37" t="str">
        <f>VLOOKUP(Table1[[#This Row],[WO'#]],Table2[#All],2,FALSE)</f>
        <v>P&amp;M - 2nd Half 2019 (FY20)</v>
      </c>
      <c r="H412" s="20" t="s">
        <v>996</v>
      </c>
      <c r="I412" s="2">
        <v>43689</v>
      </c>
      <c r="J412" s="4">
        <f t="shared" si="51"/>
        <v>12</v>
      </c>
      <c r="K412" s="3">
        <v>0.75</v>
      </c>
      <c r="L412" s="3">
        <v>0</v>
      </c>
      <c r="M412" s="3">
        <v>0</v>
      </c>
      <c r="N412" s="3">
        <v>0</v>
      </c>
      <c r="O412" s="3">
        <v>0</v>
      </c>
      <c r="P412" s="3">
        <v>0</v>
      </c>
      <c r="Q412" s="3">
        <f t="shared" si="52"/>
        <v>0.75</v>
      </c>
      <c r="R412" s="1" t="s">
        <v>972</v>
      </c>
      <c r="S412" s="1" t="s">
        <v>23</v>
      </c>
      <c r="T412" s="3">
        <f t="shared" si="53"/>
        <v>0</v>
      </c>
      <c r="U412" s="44">
        <f>IF(Table1[[#This Row],[Initials]]="RM",$AE$10,IF(Table1[[#This Row],[Initials]]="JPH",$AE$11,IF(Table1[[#This Row],[Initials]]="IE",$AE$13,IF(Table1[[#This Row],[Initials]]="JM",$AE$14,1))))</f>
        <v>0.39500000000000002</v>
      </c>
      <c r="V412" s="3">
        <f>Table1[[#This Row],[FTE %]]*Table1[[#This Row],[Time Worked]]</f>
        <v>0.29625000000000001</v>
      </c>
      <c r="W4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412" s="38">
        <f t="shared" si="54"/>
        <v>46.447499999999998</v>
      </c>
      <c r="Y412" s="18">
        <f t="shared" si="55"/>
        <v>0</v>
      </c>
    </row>
    <row r="413" spans="1:25" x14ac:dyDescent="0.25">
      <c r="A413" s="10">
        <f t="shared" si="48"/>
        <v>412</v>
      </c>
      <c r="B413" s="6" t="str">
        <f t="shared" si="49"/>
        <v>81220192638JPH</v>
      </c>
      <c r="C413" s="1" t="s">
        <v>967</v>
      </c>
      <c r="D413" s="1" t="s">
        <v>996</v>
      </c>
      <c r="E413" s="53" t="str">
        <f t="shared" si="50"/>
        <v>Unbilled</v>
      </c>
      <c r="F413" s="1">
        <v>2638</v>
      </c>
      <c r="G413" s="37" t="str">
        <f>VLOOKUP(Table1[[#This Row],[WO'#]],Table2[#All],2,FALSE)</f>
        <v>P&amp;M - 2nd Half 2019 (FY20)</v>
      </c>
      <c r="H413" s="20" t="s">
        <v>996</v>
      </c>
      <c r="I413" s="2">
        <v>43689</v>
      </c>
      <c r="J413" s="4">
        <f t="shared" si="51"/>
        <v>12</v>
      </c>
      <c r="K413" s="3">
        <v>0</v>
      </c>
      <c r="L413" s="3">
        <v>3.25</v>
      </c>
      <c r="M413" s="3">
        <v>0</v>
      </c>
      <c r="N413" s="3">
        <v>0</v>
      </c>
      <c r="O413" s="3">
        <v>0</v>
      </c>
      <c r="P413" s="3">
        <v>0</v>
      </c>
      <c r="Q413" s="3">
        <f t="shared" si="52"/>
        <v>3.25</v>
      </c>
      <c r="R413" s="1" t="s">
        <v>970</v>
      </c>
      <c r="S413" s="1" t="s">
        <v>23</v>
      </c>
      <c r="T413" s="3">
        <f t="shared" si="53"/>
        <v>0</v>
      </c>
      <c r="U413" s="44">
        <f>IF(Table1[[#This Row],[Initials]]="RM",$AE$10,IF(Table1[[#This Row],[Initials]]="JPH",$AE$11,IF(Table1[[#This Row],[Initials]]="IE",$AE$13,IF(Table1[[#This Row],[Initials]]="JM",$AE$14,1))))</f>
        <v>0.53</v>
      </c>
      <c r="V413" s="3">
        <f>Table1[[#This Row],[FTE %]]*Table1[[#This Row],[Time Worked]]</f>
        <v>1.7225000000000001</v>
      </c>
      <c r="W4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413" s="38">
        <f t="shared" si="54"/>
        <v>201.27250000000001</v>
      </c>
      <c r="Y413" s="18">
        <f t="shared" si="55"/>
        <v>0</v>
      </c>
    </row>
    <row r="414" spans="1:25" x14ac:dyDescent="0.25">
      <c r="A414" s="10">
        <f t="shared" si="48"/>
        <v>413</v>
      </c>
      <c r="B414" s="6" t="str">
        <f t="shared" si="49"/>
        <v>81220192638JPH</v>
      </c>
      <c r="C414" s="1" t="s">
        <v>967</v>
      </c>
      <c r="D414" s="1" t="s">
        <v>996</v>
      </c>
      <c r="E414" s="53" t="str">
        <f t="shared" si="50"/>
        <v>Unbilled</v>
      </c>
      <c r="F414" s="1">
        <v>2638</v>
      </c>
      <c r="G414" s="37" t="str">
        <f>VLOOKUP(Table1[[#This Row],[WO'#]],Table2[#All],2,FALSE)</f>
        <v>P&amp;M - 2nd Half 2019 (FY20)</v>
      </c>
      <c r="H414" s="20" t="s">
        <v>996</v>
      </c>
      <c r="I414" s="2">
        <v>43689</v>
      </c>
      <c r="J414" s="4">
        <f t="shared" si="51"/>
        <v>12</v>
      </c>
      <c r="K414" s="3">
        <v>0</v>
      </c>
      <c r="L414" s="3">
        <v>0</v>
      </c>
      <c r="M414" s="3">
        <v>1</v>
      </c>
      <c r="N414" s="3">
        <v>0</v>
      </c>
      <c r="O414" s="3">
        <v>0</v>
      </c>
      <c r="P414" s="3">
        <v>0</v>
      </c>
      <c r="Q414" s="3">
        <f t="shared" si="52"/>
        <v>1</v>
      </c>
      <c r="R414" s="1" t="s">
        <v>970</v>
      </c>
      <c r="S414" s="1" t="s">
        <v>23</v>
      </c>
      <c r="T414" s="3">
        <f t="shared" si="53"/>
        <v>0</v>
      </c>
      <c r="U414" s="44">
        <f>IF(Table1[[#This Row],[Initials]]="RM",$AE$10,IF(Table1[[#This Row],[Initials]]="JPH",$AE$11,IF(Table1[[#This Row],[Initials]]="IE",$AE$13,IF(Table1[[#This Row],[Initials]]="JM",$AE$14,1))))</f>
        <v>0.53</v>
      </c>
      <c r="V414" s="3">
        <f>Table1[[#This Row],[FTE %]]*Table1[[#This Row],[Time Worked]]</f>
        <v>0.53</v>
      </c>
      <c r="W4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14" s="38">
        <f t="shared" si="54"/>
        <v>61.93</v>
      </c>
      <c r="Y414" s="18">
        <f t="shared" si="55"/>
        <v>0</v>
      </c>
    </row>
    <row r="415" spans="1:25" x14ac:dyDescent="0.25">
      <c r="A415" s="10">
        <f t="shared" si="48"/>
        <v>414</v>
      </c>
      <c r="B415" s="6" t="str">
        <f t="shared" si="49"/>
        <v>81320192638IE</v>
      </c>
      <c r="C415" s="1" t="s">
        <v>967</v>
      </c>
      <c r="D415" s="1" t="s">
        <v>996</v>
      </c>
      <c r="E415" s="53" t="str">
        <f t="shared" si="50"/>
        <v>Unbilled</v>
      </c>
      <c r="F415" s="1">
        <v>2638</v>
      </c>
      <c r="G415" s="37" t="str">
        <f>VLOOKUP(Table1[[#This Row],[WO'#]],Table2[#All],2,FALSE)</f>
        <v>P&amp;M - 2nd Half 2019 (FY20)</v>
      </c>
      <c r="H415" s="20" t="s">
        <v>996</v>
      </c>
      <c r="I415" s="2">
        <v>43690</v>
      </c>
      <c r="J415" s="4">
        <f t="shared" si="51"/>
        <v>13</v>
      </c>
      <c r="K415" s="3">
        <v>0</v>
      </c>
      <c r="L415" s="3">
        <v>0</v>
      </c>
      <c r="M415" s="3">
        <v>0.5</v>
      </c>
      <c r="N415" s="3">
        <v>0</v>
      </c>
      <c r="O415" s="3">
        <v>0</v>
      </c>
      <c r="P415" s="3">
        <v>0</v>
      </c>
      <c r="Q415" s="3">
        <f t="shared" si="52"/>
        <v>0.5</v>
      </c>
      <c r="R415" s="1" t="s">
        <v>971</v>
      </c>
      <c r="S415" s="1" t="s">
        <v>23</v>
      </c>
      <c r="T415" s="3">
        <f t="shared" si="53"/>
        <v>0</v>
      </c>
      <c r="U415" s="44">
        <f>IF(Table1[[#This Row],[Initials]]="RM",$AE$10,IF(Table1[[#This Row],[Initials]]="JPH",$AE$11,IF(Table1[[#This Row],[Initials]]="IE",$AE$13,IF(Table1[[#This Row],[Initials]]="JM",$AE$14,1))))</f>
        <v>1</v>
      </c>
      <c r="V415" s="3">
        <f>Table1[[#This Row],[FTE %]]*Table1[[#This Row],[Time Worked]]</f>
        <v>0.5</v>
      </c>
      <c r="W4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15" s="38">
        <f t="shared" si="54"/>
        <v>30.965</v>
      </c>
      <c r="Y415" s="18">
        <f t="shared" si="55"/>
        <v>0</v>
      </c>
    </row>
    <row r="416" spans="1:25" x14ac:dyDescent="0.25">
      <c r="A416" s="10">
        <f t="shared" si="48"/>
        <v>415</v>
      </c>
      <c r="B416" s="6" t="str">
        <f t="shared" si="49"/>
        <v>81320192638JM</v>
      </c>
      <c r="C416" s="1" t="s">
        <v>967</v>
      </c>
      <c r="D416" s="1" t="s">
        <v>996</v>
      </c>
      <c r="E416" s="53" t="str">
        <f t="shared" si="50"/>
        <v>Unbilled</v>
      </c>
      <c r="F416" s="1">
        <v>2638</v>
      </c>
      <c r="G416" s="37" t="str">
        <f>VLOOKUP(Table1[[#This Row],[WO'#]],Table2[#All],2,FALSE)</f>
        <v>P&amp;M - 2nd Half 2019 (FY20)</v>
      </c>
      <c r="H416" s="20" t="s">
        <v>996</v>
      </c>
      <c r="I416" s="2">
        <v>43690</v>
      </c>
      <c r="J416" s="4">
        <f t="shared" si="51"/>
        <v>13</v>
      </c>
      <c r="K416" s="3">
        <v>3.75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f t="shared" si="52"/>
        <v>3.75</v>
      </c>
      <c r="R416" s="1" t="s">
        <v>972</v>
      </c>
      <c r="S416" s="1" t="s">
        <v>23</v>
      </c>
      <c r="T416" s="3">
        <f t="shared" si="53"/>
        <v>0</v>
      </c>
      <c r="U416" s="44">
        <f>IF(Table1[[#This Row],[Initials]]="RM",$AE$10,IF(Table1[[#This Row],[Initials]]="JPH",$AE$11,IF(Table1[[#This Row],[Initials]]="IE",$AE$13,IF(Table1[[#This Row],[Initials]]="JM",$AE$14,1))))</f>
        <v>0.39500000000000002</v>
      </c>
      <c r="V416" s="3">
        <f>Table1[[#This Row],[FTE %]]*Table1[[#This Row],[Time Worked]]</f>
        <v>1.4812500000000002</v>
      </c>
      <c r="W4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232.23750000000001</v>
      </c>
      <c r="X416" s="38">
        <f t="shared" si="54"/>
        <v>232.23750000000001</v>
      </c>
      <c r="Y416" s="18">
        <f t="shared" si="55"/>
        <v>0</v>
      </c>
    </row>
    <row r="417" spans="1:25" x14ac:dyDescent="0.25">
      <c r="A417" s="10">
        <f t="shared" si="48"/>
        <v>416</v>
      </c>
      <c r="B417" s="6" t="str">
        <f t="shared" si="49"/>
        <v>81320192638JM</v>
      </c>
      <c r="C417" s="1" t="s">
        <v>967</v>
      </c>
      <c r="D417" s="1" t="s">
        <v>996</v>
      </c>
      <c r="E417" s="53" t="str">
        <f t="shared" si="50"/>
        <v>Unbilled</v>
      </c>
      <c r="F417" s="1">
        <v>2638</v>
      </c>
      <c r="G417" s="37" t="str">
        <f>VLOOKUP(Table1[[#This Row],[WO'#]],Table2[#All],2,FALSE)</f>
        <v>P&amp;M - 2nd Half 2019 (FY20)</v>
      </c>
      <c r="H417" s="20" t="s">
        <v>996</v>
      </c>
      <c r="I417" s="2">
        <v>43690</v>
      </c>
      <c r="J417" s="4">
        <f t="shared" si="51"/>
        <v>13</v>
      </c>
      <c r="K417" s="3">
        <v>0</v>
      </c>
      <c r="L417" s="3">
        <v>0</v>
      </c>
      <c r="M417" s="3">
        <v>4.75</v>
      </c>
      <c r="N417" s="3">
        <v>0</v>
      </c>
      <c r="O417" s="3">
        <v>0</v>
      </c>
      <c r="P417" s="3">
        <v>0</v>
      </c>
      <c r="Q417" s="3">
        <f t="shared" si="52"/>
        <v>4.75</v>
      </c>
      <c r="R417" s="1" t="s">
        <v>972</v>
      </c>
      <c r="S417" s="1" t="s">
        <v>23</v>
      </c>
      <c r="T417" s="3">
        <f t="shared" si="53"/>
        <v>0</v>
      </c>
      <c r="U417" s="44">
        <f>IF(Table1[[#This Row],[Initials]]="RM",$AE$10,IF(Table1[[#This Row],[Initials]]="JPH",$AE$11,IF(Table1[[#This Row],[Initials]]="IE",$AE$13,IF(Table1[[#This Row],[Initials]]="JM",$AE$14,1))))</f>
        <v>0.39500000000000002</v>
      </c>
      <c r="V417" s="3">
        <f>Table1[[#This Row],[FTE %]]*Table1[[#This Row],[Time Worked]]</f>
        <v>1.8762500000000002</v>
      </c>
      <c r="W4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294.16750000000002</v>
      </c>
      <c r="X417" s="38">
        <f t="shared" si="54"/>
        <v>294.16750000000002</v>
      </c>
      <c r="Y417" s="18">
        <f t="shared" si="55"/>
        <v>0</v>
      </c>
    </row>
    <row r="418" spans="1:25" x14ac:dyDescent="0.25">
      <c r="A418" s="10">
        <f t="shared" si="48"/>
        <v>417</v>
      </c>
      <c r="B418" s="6" t="str">
        <f t="shared" si="49"/>
        <v>81320192638JPH</v>
      </c>
      <c r="C418" s="1" t="s">
        <v>967</v>
      </c>
      <c r="D418" s="1" t="s">
        <v>996</v>
      </c>
      <c r="E418" s="53" t="str">
        <f t="shared" si="50"/>
        <v>Unbilled</v>
      </c>
      <c r="F418" s="1">
        <v>2638</v>
      </c>
      <c r="G418" s="37" t="str">
        <f>VLOOKUP(Table1[[#This Row],[WO'#]],Table2[#All],2,FALSE)</f>
        <v>P&amp;M - 2nd Half 2019 (FY20)</v>
      </c>
      <c r="H418" s="20" t="s">
        <v>996</v>
      </c>
      <c r="I418" s="2">
        <v>43690</v>
      </c>
      <c r="J418" s="4">
        <f t="shared" si="51"/>
        <v>13</v>
      </c>
      <c r="K418" s="3">
        <v>0</v>
      </c>
      <c r="L418" s="3">
        <v>0</v>
      </c>
      <c r="M418" s="3">
        <v>1.5</v>
      </c>
      <c r="N418" s="3">
        <v>0</v>
      </c>
      <c r="O418" s="3">
        <v>0</v>
      </c>
      <c r="P418" s="3">
        <v>0</v>
      </c>
      <c r="Q418" s="3">
        <f t="shared" si="52"/>
        <v>1.5</v>
      </c>
      <c r="R418" s="1" t="s">
        <v>970</v>
      </c>
      <c r="S418" s="1" t="s">
        <v>23</v>
      </c>
      <c r="T418" s="3">
        <f t="shared" si="53"/>
        <v>0</v>
      </c>
      <c r="U418" s="44">
        <f>IF(Table1[[#This Row],[Initials]]="RM",$AE$10,IF(Table1[[#This Row],[Initials]]="JPH",$AE$11,IF(Table1[[#This Row],[Initials]]="IE",$AE$13,IF(Table1[[#This Row],[Initials]]="JM",$AE$14,1))))</f>
        <v>0.53</v>
      </c>
      <c r="V418" s="3">
        <f>Table1[[#This Row],[FTE %]]*Table1[[#This Row],[Time Worked]]</f>
        <v>0.79500000000000004</v>
      </c>
      <c r="W4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18" s="38">
        <f t="shared" si="54"/>
        <v>92.894999999999996</v>
      </c>
      <c r="Y418" s="18">
        <f t="shared" si="55"/>
        <v>0</v>
      </c>
    </row>
    <row r="419" spans="1:25" x14ac:dyDescent="0.25">
      <c r="A419" s="10">
        <f t="shared" si="48"/>
        <v>418</v>
      </c>
      <c r="B419" s="6" t="str">
        <f t="shared" si="49"/>
        <v>81420192638IE</v>
      </c>
      <c r="C419" s="1" t="s">
        <v>967</v>
      </c>
      <c r="D419" s="1" t="s">
        <v>996</v>
      </c>
      <c r="E419" s="53" t="str">
        <f t="shared" si="50"/>
        <v>Unbilled</v>
      </c>
      <c r="F419" s="1">
        <v>2638</v>
      </c>
      <c r="G419" s="37" t="str">
        <f>VLOOKUP(Table1[[#This Row],[WO'#]],Table2[#All],2,FALSE)</f>
        <v>P&amp;M - 2nd Half 2019 (FY20)</v>
      </c>
      <c r="H419" s="20" t="s">
        <v>996</v>
      </c>
      <c r="I419" s="2">
        <v>43691</v>
      </c>
      <c r="J419" s="4">
        <f t="shared" si="51"/>
        <v>14</v>
      </c>
      <c r="K419" s="3">
        <v>0.25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  <c r="Q419" s="3">
        <f t="shared" si="52"/>
        <v>0.25</v>
      </c>
      <c r="R419" s="1" t="s">
        <v>971</v>
      </c>
      <c r="S419" s="1" t="s">
        <v>23</v>
      </c>
      <c r="T419" s="3">
        <f t="shared" si="53"/>
        <v>0</v>
      </c>
      <c r="U419" s="44">
        <f>IF(Table1[[#This Row],[Initials]]="RM",$AE$10,IF(Table1[[#This Row],[Initials]]="JPH",$AE$11,IF(Table1[[#This Row],[Initials]]="IE",$AE$13,IF(Table1[[#This Row],[Initials]]="JM",$AE$14,1))))</f>
        <v>1</v>
      </c>
      <c r="V419" s="3">
        <f>Table1[[#This Row],[FTE %]]*Table1[[#This Row],[Time Worked]]</f>
        <v>0.25</v>
      </c>
      <c r="W4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19" s="38">
        <f t="shared" si="54"/>
        <v>15.4825</v>
      </c>
      <c r="Y419" s="18">
        <f t="shared" si="55"/>
        <v>0</v>
      </c>
    </row>
    <row r="420" spans="1:25" x14ac:dyDescent="0.25">
      <c r="A420" s="10">
        <f t="shared" si="48"/>
        <v>419</v>
      </c>
      <c r="B420" s="6" t="str">
        <f t="shared" si="49"/>
        <v>81420192638JM</v>
      </c>
      <c r="C420" s="1" t="s">
        <v>967</v>
      </c>
      <c r="D420" s="1" t="s">
        <v>996</v>
      </c>
      <c r="E420" s="53" t="str">
        <f t="shared" si="50"/>
        <v>Unbilled</v>
      </c>
      <c r="F420" s="1">
        <v>2638</v>
      </c>
      <c r="G420" s="37" t="str">
        <f>VLOOKUP(Table1[[#This Row],[WO'#]],Table2[#All],2,FALSE)</f>
        <v>P&amp;M - 2nd Half 2019 (FY20)</v>
      </c>
      <c r="H420" s="20" t="s">
        <v>996</v>
      </c>
      <c r="I420" s="2">
        <v>43691</v>
      </c>
      <c r="J420" s="4">
        <f t="shared" si="51"/>
        <v>14</v>
      </c>
      <c r="K420" s="3">
        <v>0</v>
      </c>
      <c r="L420" s="3">
        <v>0</v>
      </c>
      <c r="M420" s="3">
        <v>3</v>
      </c>
      <c r="N420" s="3">
        <v>0</v>
      </c>
      <c r="O420" s="3">
        <v>0</v>
      </c>
      <c r="P420" s="3">
        <v>0</v>
      </c>
      <c r="Q420" s="3">
        <f t="shared" si="52"/>
        <v>3</v>
      </c>
      <c r="R420" s="1" t="s">
        <v>972</v>
      </c>
      <c r="S420" s="1" t="s">
        <v>23</v>
      </c>
      <c r="T420" s="3">
        <f t="shared" si="53"/>
        <v>0</v>
      </c>
      <c r="U420" s="44">
        <f>IF(Table1[[#This Row],[Initials]]="RM",$AE$10,IF(Table1[[#This Row],[Initials]]="JPH",$AE$11,IF(Table1[[#This Row],[Initials]]="IE",$AE$13,IF(Table1[[#This Row],[Initials]]="JM",$AE$14,1))))</f>
        <v>0.39500000000000002</v>
      </c>
      <c r="V420" s="3">
        <f>Table1[[#This Row],[FTE %]]*Table1[[#This Row],[Time Worked]]</f>
        <v>1.1850000000000001</v>
      </c>
      <c r="W4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20" s="38">
        <f t="shared" si="54"/>
        <v>185.79</v>
      </c>
      <c r="Y420" s="18">
        <f t="shared" si="55"/>
        <v>0</v>
      </c>
    </row>
    <row r="421" spans="1:25" x14ac:dyDescent="0.25">
      <c r="A421" s="10">
        <f t="shared" si="48"/>
        <v>420</v>
      </c>
      <c r="B421" s="6" t="str">
        <f t="shared" si="49"/>
        <v>81420192638JM</v>
      </c>
      <c r="C421" s="1" t="s">
        <v>967</v>
      </c>
      <c r="D421" s="1" t="s">
        <v>996</v>
      </c>
      <c r="E421" s="53" t="str">
        <f t="shared" si="50"/>
        <v>Unbilled</v>
      </c>
      <c r="F421" s="1">
        <v>2638</v>
      </c>
      <c r="G421" s="37" t="str">
        <f>VLOOKUP(Table1[[#This Row],[WO'#]],Table2[#All],2,FALSE)</f>
        <v>P&amp;M - 2nd Half 2019 (FY20)</v>
      </c>
      <c r="H421" s="20" t="s">
        <v>996</v>
      </c>
      <c r="I421" s="2">
        <v>43691</v>
      </c>
      <c r="J421" s="4">
        <f t="shared" si="51"/>
        <v>14</v>
      </c>
      <c r="K421" s="3">
        <v>3.5</v>
      </c>
      <c r="L421" s="3">
        <v>0</v>
      </c>
      <c r="M421" s="3">
        <v>0</v>
      </c>
      <c r="N421" s="3">
        <v>0</v>
      </c>
      <c r="O421" s="3">
        <v>0</v>
      </c>
      <c r="P421" s="3">
        <v>0</v>
      </c>
      <c r="Q421" s="3">
        <f t="shared" si="52"/>
        <v>3.5</v>
      </c>
      <c r="R421" s="1" t="s">
        <v>972</v>
      </c>
      <c r="S421" s="1" t="s">
        <v>23</v>
      </c>
      <c r="T421" s="3">
        <f t="shared" si="53"/>
        <v>0</v>
      </c>
      <c r="U421" s="44">
        <f>IF(Table1[[#This Row],[Initials]]="RM",$AE$10,IF(Table1[[#This Row],[Initials]]="JPH",$AE$11,IF(Table1[[#This Row],[Initials]]="IE",$AE$13,IF(Table1[[#This Row],[Initials]]="JM",$AE$14,1))))</f>
        <v>0.39500000000000002</v>
      </c>
      <c r="V421" s="3">
        <f>Table1[[#This Row],[FTE %]]*Table1[[#This Row],[Time Worked]]</f>
        <v>1.3825000000000001</v>
      </c>
      <c r="W4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421" s="38">
        <f t="shared" si="54"/>
        <v>216.755</v>
      </c>
      <c r="Y421" s="18">
        <f t="shared" si="55"/>
        <v>0</v>
      </c>
    </row>
    <row r="422" spans="1:25" x14ac:dyDescent="0.25">
      <c r="A422" s="10">
        <f t="shared" si="48"/>
        <v>421</v>
      </c>
      <c r="B422" s="6" t="str">
        <f t="shared" si="49"/>
        <v>81520192638IE</v>
      </c>
      <c r="C422" s="1" t="s">
        <v>967</v>
      </c>
      <c r="D422" s="1" t="s">
        <v>996</v>
      </c>
      <c r="E422" s="53" t="str">
        <f t="shared" si="50"/>
        <v>Unbilled</v>
      </c>
      <c r="F422" s="1">
        <v>2638</v>
      </c>
      <c r="G422" s="37" t="str">
        <f>VLOOKUP(Table1[[#This Row],[WO'#]],Table2[#All],2,FALSE)</f>
        <v>P&amp;M - 2nd Half 2019 (FY20)</v>
      </c>
      <c r="H422" s="20" t="s">
        <v>996</v>
      </c>
      <c r="I422" s="2">
        <v>43692</v>
      </c>
      <c r="J422" s="4">
        <f t="shared" si="51"/>
        <v>15</v>
      </c>
      <c r="K422" s="3">
        <v>1.5</v>
      </c>
      <c r="L422" s="3">
        <v>0</v>
      </c>
      <c r="M422" s="3">
        <v>0</v>
      </c>
      <c r="N422" s="3">
        <v>0</v>
      </c>
      <c r="O422" s="3">
        <v>0</v>
      </c>
      <c r="P422" s="3">
        <v>0</v>
      </c>
      <c r="Q422" s="3">
        <f t="shared" si="52"/>
        <v>1.5</v>
      </c>
      <c r="R422" s="1" t="s">
        <v>971</v>
      </c>
      <c r="S422" s="1" t="s">
        <v>23</v>
      </c>
      <c r="T422" s="3">
        <f t="shared" si="53"/>
        <v>0</v>
      </c>
      <c r="U422" s="44">
        <f>IF(Table1[[#This Row],[Initials]]="RM",$AE$10,IF(Table1[[#This Row],[Initials]]="JPH",$AE$11,IF(Table1[[#This Row],[Initials]]="IE",$AE$13,IF(Table1[[#This Row],[Initials]]="JM",$AE$14,1))))</f>
        <v>1</v>
      </c>
      <c r="V422" s="3">
        <f>Table1[[#This Row],[FTE %]]*Table1[[#This Row],[Time Worked]]</f>
        <v>1.5</v>
      </c>
      <c r="W4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22" s="38">
        <f t="shared" si="54"/>
        <v>92.894999999999996</v>
      </c>
      <c r="Y422" s="18">
        <f t="shared" si="55"/>
        <v>0</v>
      </c>
    </row>
    <row r="423" spans="1:25" x14ac:dyDescent="0.25">
      <c r="A423" s="10">
        <f t="shared" si="48"/>
        <v>422</v>
      </c>
      <c r="B423" s="6" t="str">
        <f t="shared" si="49"/>
        <v>81520192638JM</v>
      </c>
      <c r="C423" s="1" t="s">
        <v>967</v>
      </c>
      <c r="D423" s="1" t="s">
        <v>996</v>
      </c>
      <c r="E423" s="53" t="str">
        <f t="shared" si="50"/>
        <v>Unbilled</v>
      </c>
      <c r="F423" s="1">
        <v>2638</v>
      </c>
      <c r="G423" s="37" t="str">
        <f>VLOOKUP(Table1[[#This Row],[WO'#]],Table2[#All],2,FALSE)</f>
        <v>P&amp;M - 2nd Half 2019 (FY20)</v>
      </c>
      <c r="H423" s="20" t="s">
        <v>996</v>
      </c>
      <c r="I423" s="2">
        <v>43692</v>
      </c>
      <c r="J423" s="4">
        <f t="shared" si="51"/>
        <v>15</v>
      </c>
      <c r="K423" s="3">
        <v>2</v>
      </c>
      <c r="L423" s="3">
        <v>0</v>
      </c>
      <c r="M423" s="3">
        <v>0</v>
      </c>
      <c r="N423" s="3">
        <v>0</v>
      </c>
      <c r="O423" s="3">
        <v>0</v>
      </c>
      <c r="P423" s="3">
        <v>0</v>
      </c>
      <c r="Q423" s="3">
        <f t="shared" si="52"/>
        <v>2</v>
      </c>
      <c r="R423" s="1" t="s">
        <v>972</v>
      </c>
      <c r="S423" s="1" t="s">
        <v>23</v>
      </c>
      <c r="T423" s="3">
        <f t="shared" si="53"/>
        <v>0</v>
      </c>
      <c r="U423" s="44">
        <f>IF(Table1[[#This Row],[Initials]]="RM",$AE$10,IF(Table1[[#This Row],[Initials]]="JPH",$AE$11,IF(Table1[[#This Row],[Initials]]="IE",$AE$13,IF(Table1[[#This Row],[Initials]]="JM",$AE$14,1))))</f>
        <v>0.39500000000000002</v>
      </c>
      <c r="V423" s="3">
        <f>Table1[[#This Row],[FTE %]]*Table1[[#This Row],[Time Worked]]</f>
        <v>0.79</v>
      </c>
      <c r="W4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23" s="38">
        <f t="shared" si="54"/>
        <v>123.86</v>
      </c>
      <c r="Y423" s="18">
        <f t="shared" si="55"/>
        <v>0</v>
      </c>
    </row>
    <row r="424" spans="1:25" x14ac:dyDescent="0.25">
      <c r="A424" s="10">
        <f t="shared" si="48"/>
        <v>423</v>
      </c>
      <c r="B424" s="6" t="str">
        <f t="shared" si="49"/>
        <v>81520192638JM</v>
      </c>
      <c r="C424" s="1" t="s">
        <v>967</v>
      </c>
      <c r="D424" s="1" t="s">
        <v>996</v>
      </c>
      <c r="E424" s="53" t="str">
        <f t="shared" si="50"/>
        <v>Unbilled</v>
      </c>
      <c r="F424" s="1">
        <v>2638</v>
      </c>
      <c r="G424" s="37" t="str">
        <f>VLOOKUP(Table1[[#This Row],[WO'#]],Table2[#All],2,FALSE)</f>
        <v>P&amp;M - 2nd Half 2019 (FY20)</v>
      </c>
      <c r="H424" s="20" t="s">
        <v>996</v>
      </c>
      <c r="I424" s="2">
        <v>43692</v>
      </c>
      <c r="J424" s="4">
        <f t="shared" si="51"/>
        <v>15</v>
      </c>
      <c r="K424" s="3">
        <v>0</v>
      </c>
      <c r="L424" s="3">
        <v>0</v>
      </c>
      <c r="M424" s="3">
        <v>1.5</v>
      </c>
      <c r="N424" s="3">
        <v>0</v>
      </c>
      <c r="O424" s="3">
        <v>0</v>
      </c>
      <c r="P424" s="3">
        <v>0</v>
      </c>
      <c r="Q424" s="3">
        <f t="shared" si="52"/>
        <v>1.5</v>
      </c>
      <c r="R424" s="1" t="s">
        <v>972</v>
      </c>
      <c r="S424" s="1" t="s">
        <v>23</v>
      </c>
      <c r="T424" s="3">
        <f t="shared" si="53"/>
        <v>0</v>
      </c>
      <c r="U424" s="44">
        <f>IF(Table1[[#This Row],[Initials]]="RM",$AE$10,IF(Table1[[#This Row],[Initials]]="JPH",$AE$11,IF(Table1[[#This Row],[Initials]]="IE",$AE$13,IF(Table1[[#This Row],[Initials]]="JM",$AE$14,1))))</f>
        <v>0.39500000000000002</v>
      </c>
      <c r="V424" s="3">
        <f>Table1[[#This Row],[FTE %]]*Table1[[#This Row],[Time Worked]]</f>
        <v>0.59250000000000003</v>
      </c>
      <c r="W4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24" s="38">
        <f t="shared" si="54"/>
        <v>92.894999999999996</v>
      </c>
      <c r="Y424" s="18">
        <f t="shared" si="55"/>
        <v>0</v>
      </c>
    </row>
    <row r="425" spans="1:25" x14ac:dyDescent="0.25">
      <c r="A425" s="10">
        <f t="shared" si="48"/>
        <v>424</v>
      </c>
      <c r="B425" s="6" t="str">
        <f t="shared" si="49"/>
        <v>81520192638RM</v>
      </c>
      <c r="C425" s="1" t="s">
        <v>967</v>
      </c>
      <c r="D425" s="1" t="s">
        <v>996</v>
      </c>
      <c r="E425" s="53" t="str">
        <f t="shared" si="50"/>
        <v>Unbilled</v>
      </c>
      <c r="F425" s="1">
        <v>2638</v>
      </c>
      <c r="G425" s="37" t="str">
        <f>VLOOKUP(Table1[[#This Row],[WO'#]],Table2[#All],2,FALSE)</f>
        <v>P&amp;M - 2nd Half 2019 (FY20)</v>
      </c>
      <c r="H425" s="20" t="s">
        <v>996</v>
      </c>
      <c r="I425" s="2">
        <v>43692</v>
      </c>
      <c r="J425" s="4">
        <f t="shared" si="51"/>
        <v>15</v>
      </c>
      <c r="K425" s="3">
        <v>0</v>
      </c>
      <c r="L425" s="3">
        <v>0</v>
      </c>
      <c r="M425" s="3">
        <v>0</v>
      </c>
      <c r="N425" s="3">
        <v>0.5</v>
      </c>
      <c r="O425" s="3">
        <v>0</v>
      </c>
      <c r="P425" s="3">
        <v>0</v>
      </c>
      <c r="Q425" s="3">
        <f t="shared" si="52"/>
        <v>0.5</v>
      </c>
      <c r="R425" s="1" t="s">
        <v>17</v>
      </c>
      <c r="S425" s="1" t="s">
        <v>23</v>
      </c>
      <c r="T425" s="3">
        <f t="shared" si="53"/>
        <v>0</v>
      </c>
      <c r="U425" s="44">
        <f>IF(Table1[[#This Row],[Initials]]="RM",$AE$10,IF(Table1[[#This Row],[Initials]]="JPH",$AE$11,IF(Table1[[#This Row],[Initials]]="IE",$AE$13,IF(Table1[[#This Row],[Initials]]="JM",$AE$14,1))))</f>
        <v>0.5</v>
      </c>
      <c r="V425" s="3">
        <f>Table1[[#This Row],[FTE %]]*Table1[[#This Row],[Time Worked]]</f>
        <v>0.25</v>
      </c>
      <c r="W4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25" s="38">
        <f t="shared" si="54"/>
        <v>30.965</v>
      </c>
      <c r="Y425" s="18">
        <f t="shared" si="55"/>
        <v>0</v>
      </c>
    </row>
    <row r="426" spans="1:25" x14ac:dyDescent="0.25">
      <c r="A426" s="10">
        <f t="shared" si="48"/>
        <v>425</v>
      </c>
      <c r="B426" s="6" t="str">
        <f t="shared" si="49"/>
        <v>81520192638RM</v>
      </c>
      <c r="C426" s="1" t="s">
        <v>967</v>
      </c>
      <c r="D426" s="1" t="s">
        <v>996</v>
      </c>
      <c r="E426" s="53" t="str">
        <f t="shared" si="50"/>
        <v>Unbilled</v>
      </c>
      <c r="F426" s="1">
        <v>2638</v>
      </c>
      <c r="G426" s="37" t="str">
        <f>VLOOKUP(Table1[[#This Row],[WO'#]],Table2[#All],2,FALSE)</f>
        <v>P&amp;M - 2nd Half 2019 (FY20)</v>
      </c>
      <c r="H426" s="20" t="s">
        <v>996</v>
      </c>
      <c r="I426" s="2">
        <v>43692</v>
      </c>
      <c r="J426" s="4">
        <f t="shared" si="51"/>
        <v>15</v>
      </c>
      <c r="K426" s="3">
        <v>0</v>
      </c>
      <c r="L426" s="3">
        <v>0</v>
      </c>
      <c r="M426" s="3">
        <v>0</v>
      </c>
      <c r="N426" s="3">
        <v>0.5</v>
      </c>
      <c r="O426" s="3">
        <v>0</v>
      </c>
      <c r="P426" s="3">
        <v>0</v>
      </c>
      <c r="Q426" s="3">
        <f t="shared" si="52"/>
        <v>0.5</v>
      </c>
      <c r="R426" s="1" t="s">
        <v>17</v>
      </c>
      <c r="S426" s="1" t="s">
        <v>23</v>
      </c>
      <c r="T426" s="3">
        <f t="shared" si="53"/>
        <v>0</v>
      </c>
      <c r="U426" s="44">
        <f>IF(Table1[[#This Row],[Initials]]="RM",$AE$10,IF(Table1[[#This Row],[Initials]]="JPH",$AE$11,IF(Table1[[#This Row],[Initials]]="IE",$AE$13,IF(Table1[[#This Row],[Initials]]="JM",$AE$14,1))))</f>
        <v>0.5</v>
      </c>
      <c r="V426" s="3">
        <f>Table1[[#This Row],[FTE %]]*Table1[[#This Row],[Time Worked]]</f>
        <v>0.25</v>
      </c>
      <c r="W4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26" s="38">
        <f t="shared" si="54"/>
        <v>30.965</v>
      </c>
      <c r="Y426" s="18">
        <f t="shared" si="55"/>
        <v>0</v>
      </c>
    </row>
    <row r="427" spans="1:25" x14ac:dyDescent="0.25">
      <c r="A427" s="10">
        <f t="shared" si="48"/>
        <v>426</v>
      </c>
      <c r="B427" s="6" t="str">
        <f t="shared" si="49"/>
        <v>81620192638JM</v>
      </c>
      <c r="C427" s="1" t="s">
        <v>967</v>
      </c>
      <c r="D427" s="1" t="s">
        <v>996</v>
      </c>
      <c r="E427" s="53" t="str">
        <f t="shared" si="50"/>
        <v>Unbilled</v>
      </c>
      <c r="F427" s="1">
        <v>2638</v>
      </c>
      <c r="G427" s="37" t="str">
        <f>VLOOKUP(Table1[[#This Row],[WO'#]],Table2[#All],2,FALSE)</f>
        <v>P&amp;M - 2nd Half 2019 (FY20)</v>
      </c>
      <c r="H427" s="20" t="s">
        <v>996</v>
      </c>
      <c r="I427" s="2">
        <v>43693</v>
      </c>
      <c r="J427" s="4">
        <f t="shared" si="51"/>
        <v>16</v>
      </c>
      <c r="K427" s="3">
        <v>0</v>
      </c>
      <c r="L427" s="3">
        <v>0</v>
      </c>
      <c r="M427" s="3">
        <v>2</v>
      </c>
      <c r="N427" s="3">
        <v>0</v>
      </c>
      <c r="O427" s="3">
        <v>0</v>
      </c>
      <c r="P427" s="3">
        <v>0</v>
      </c>
      <c r="Q427" s="3">
        <f t="shared" si="52"/>
        <v>2</v>
      </c>
      <c r="R427" s="1" t="s">
        <v>972</v>
      </c>
      <c r="S427" s="1" t="s">
        <v>23</v>
      </c>
      <c r="T427" s="3">
        <f t="shared" si="53"/>
        <v>0</v>
      </c>
      <c r="U427" s="44">
        <f>IF(Table1[[#This Row],[Initials]]="RM",$AE$10,IF(Table1[[#This Row],[Initials]]="JPH",$AE$11,IF(Table1[[#This Row],[Initials]]="IE",$AE$13,IF(Table1[[#This Row],[Initials]]="JM",$AE$14,1))))</f>
        <v>0.39500000000000002</v>
      </c>
      <c r="V427" s="3">
        <f>Table1[[#This Row],[FTE %]]*Table1[[#This Row],[Time Worked]]</f>
        <v>0.79</v>
      </c>
      <c r="W4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27" s="38">
        <f t="shared" si="54"/>
        <v>123.86</v>
      </c>
      <c r="Y427" s="18">
        <f t="shared" si="55"/>
        <v>0</v>
      </c>
    </row>
    <row r="428" spans="1:25" x14ac:dyDescent="0.25">
      <c r="A428" s="10">
        <f t="shared" si="48"/>
        <v>427</v>
      </c>
      <c r="B428" s="6" t="str">
        <f t="shared" si="49"/>
        <v>81920192638JM</v>
      </c>
      <c r="C428" s="1" t="s">
        <v>967</v>
      </c>
      <c r="D428" s="1" t="s">
        <v>996</v>
      </c>
      <c r="E428" s="53" t="str">
        <f t="shared" si="50"/>
        <v>Unbilled</v>
      </c>
      <c r="F428" s="1">
        <v>2638</v>
      </c>
      <c r="G428" s="37" t="str">
        <f>VLOOKUP(Table1[[#This Row],[WO'#]],Table2[#All],2,FALSE)</f>
        <v>P&amp;M - 2nd Half 2019 (FY20)</v>
      </c>
      <c r="H428" s="20" t="s">
        <v>996</v>
      </c>
      <c r="I428" s="2">
        <v>43696</v>
      </c>
      <c r="J428" s="4">
        <f t="shared" si="51"/>
        <v>19</v>
      </c>
      <c r="K428" s="3">
        <v>0</v>
      </c>
      <c r="L428" s="3">
        <v>0</v>
      </c>
      <c r="M428" s="3">
        <v>0.5</v>
      </c>
      <c r="N428" s="3">
        <v>0</v>
      </c>
      <c r="O428" s="3">
        <v>0</v>
      </c>
      <c r="P428" s="3">
        <v>0</v>
      </c>
      <c r="Q428" s="3">
        <f t="shared" si="52"/>
        <v>0.5</v>
      </c>
      <c r="R428" s="1" t="s">
        <v>972</v>
      </c>
      <c r="S428" s="1" t="s">
        <v>23</v>
      </c>
      <c r="T428" s="3">
        <f t="shared" si="53"/>
        <v>0</v>
      </c>
      <c r="U428" s="44">
        <f>IF(Table1[[#This Row],[Initials]]="RM",$AE$10,IF(Table1[[#This Row],[Initials]]="JPH",$AE$11,IF(Table1[[#This Row],[Initials]]="IE",$AE$13,IF(Table1[[#This Row],[Initials]]="JM",$AE$14,1))))</f>
        <v>0.39500000000000002</v>
      </c>
      <c r="V428" s="3">
        <f>Table1[[#This Row],[FTE %]]*Table1[[#This Row],[Time Worked]]</f>
        <v>0.19750000000000001</v>
      </c>
      <c r="W4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28" s="38">
        <f t="shared" si="54"/>
        <v>30.965</v>
      </c>
      <c r="Y428" s="18">
        <f t="shared" si="55"/>
        <v>0</v>
      </c>
    </row>
    <row r="429" spans="1:25" x14ac:dyDescent="0.25">
      <c r="A429" s="10">
        <f t="shared" si="48"/>
        <v>428</v>
      </c>
      <c r="B429" s="6" t="str">
        <f t="shared" si="49"/>
        <v>81920192638JM</v>
      </c>
      <c r="C429" s="1" t="s">
        <v>967</v>
      </c>
      <c r="D429" s="1" t="s">
        <v>996</v>
      </c>
      <c r="E429" s="53" t="str">
        <f t="shared" si="50"/>
        <v>Unbilled</v>
      </c>
      <c r="F429" s="1">
        <v>2638</v>
      </c>
      <c r="G429" s="37" t="str">
        <f>VLOOKUP(Table1[[#This Row],[WO'#]],Table2[#All],2,FALSE)</f>
        <v>P&amp;M - 2nd Half 2019 (FY20)</v>
      </c>
      <c r="H429" s="20" t="s">
        <v>996</v>
      </c>
      <c r="I429" s="2">
        <v>43696</v>
      </c>
      <c r="J429" s="4">
        <f t="shared" si="51"/>
        <v>19</v>
      </c>
      <c r="K429" s="3">
        <v>1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f t="shared" si="52"/>
        <v>1</v>
      </c>
      <c r="R429" s="1" t="s">
        <v>972</v>
      </c>
      <c r="S429" s="1" t="s">
        <v>23</v>
      </c>
      <c r="T429" s="3">
        <f t="shared" si="53"/>
        <v>0</v>
      </c>
      <c r="U429" s="44">
        <f>IF(Table1[[#This Row],[Initials]]="RM",$AE$10,IF(Table1[[#This Row],[Initials]]="JPH",$AE$11,IF(Table1[[#This Row],[Initials]]="IE",$AE$13,IF(Table1[[#This Row],[Initials]]="JM",$AE$14,1))))</f>
        <v>0.39500000000000002</v>
      </c>
      <c r="V429" s="3">
        <f>Table1[[#This Row],[FTE %]]*Table1[[#This Row],[Time Worked]]</f>
        <v>0.39500000000000002</v>
      </c>
      <c r="W4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29" s="38">
        <f t="shared" si="54"/>
        <v>61.93</v>
      </c>
      <c r="Y429" s="18">
        <f t="shared" si="55"/>
        <v>0</v>
      </c>
    </row>
    <row r="430" spans="1:25" x14ac:dyDescent="0.25">
      <c r="A430" s="10">
        <f t="shared" si="48"/>
        <v>429</v>
      </c>
      <c r="B430" s="6" t="str">
        <f t="shared" si="49"/>
        <v>81920192638JPH</v>
      </c>
      <c r="C430" s="1" t="s">
        <v>967</v>
      </c>
      <c r="D430" s="1" t="s">
        <v>996</v>
      </c>
      <c r="E430" s="53" t="str">
        <f t="shared" si="50"/>
        <v>Unbilled</v>
      </c>
      <c r="F430" s="1">
        <v>2638</v>
      </c>
      <c r="G430" s="37" t="str">
        <f>VLOOKUP(Table1[[#This Row],[WO'#]],Table2[#All],2,FALSE)</f>
        <v>P&amp;M - 2nd Half 2019 (FY20)</v>
      </c>
      <c r="H430" s="20" t="s">
        <v>996</v>
      </c>
      <c r="I430" s="2">
        <v>43696</v>
      </c>
      <c r="J430" s="4">
        <f t="shared" si="51"/>
        <v>19</v>
      </c>
      <c r="K430" s="3">
        <v>0</v>
      </c>
      <c r="L430" s="3">
        <v>0</v>
      </c>
      <c r="M430" s="3">
        <v>2</v>
      </c>
      <c r="N430" s="3">
        <v>0</v>
      </c>
      <c r="O430" s="3">
        <v>0</v>
      </c>
      <c r="P430" s="3">
        <v>0</v>
      </c>
      <c r="Q430" s="3">
        <f t="shared" si="52"/>
        <v>2</v>
      </c>
      <c r="R430" s="1" t="s">
        <v>970</v>
      </c>
      <c r="S430" s="1" t="s">
        <v>23</v>
      </c>
      <c r="T430" s="3">
        <f t="shared" si="53"/>
        <v>0</v>
      </c>
      <c r="U430" s="44">
        <f>IF(Table1[[#This Row],[Initials]]="RM",$AE$10,IF(Table1[[#This Row],[Initials]]="JPH",$AE$11,IF(Table1[[#This Row],[Initials]]="IE",$AE$13,IF(Table1[[#This Row],[Initials]]="JM",$AE$14,1))))</f>
        <v>0.53</v>
      </c>
      <c r="V430" s="3">
        <f>Table1[[#This Row],[FTE %]]*Table1[[#This Row],[Time Worked]]</f>
        <v>1.06</v>
      </c>
      <c r="W4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30" s="38">
        <f t="shared" si="54"/>
        <v>123.86</v>
      </c>
      <c r="Y430" s="18">
        <f t="shared" si="55"/>
        <v>0</v>
      </c>
    </row>
    <row r="431" spans="1:25" x14ac:dyDescent="0.25">
      <c r="A431" s="10">
        <f t="shared" si="48"/>
        <v>430</v>
      </c>
      <c r="B431" s="6" t="str">
        <f t="shared" si="49"/>
        <v>81920192638RM</v>
      </c>
      <c r="C431" s="1" t="s">
        <v>967</v>
      </c>
      <c r="D431" s="1" t="s">
        <v>996</v>
      </c>
      <c r="E431" s="53" t="str">
        <f t="shared" si="50"/>
        <v>Unbilled</v>
      </c>
      <c r="F431" s="1">
        <v>2638</v>
      </c>
      <c r="G431" s="37" t="str">
        <f>VLOOKUP(Table1[[#This Row],[WO'#]],Table2[#All],2,FALSE)</f>
        <v>P&amp;M - 2nd Half 2019 (FY20)</v>
      </c>
      <c r="H431" s="20" t="s">
        <v>996</v>
      </c>
      <c r="I431" s="2">
        <v>43696</v>
      </c>
      <c r="J431" s="4">
        <f t="shared" si="51"/>
        <v>19</v>
      </c>
      <c r="K431" s="3">
        <v>2</v>
      </c>
      <c r="L431" s="3">
        <v>0</v>
      </c>
      <c r="M431" s="3">
        <v>0</v>
      </c>
      <c r="N431" s="3">
        <v>0</v>
      </c>
      <c r="O431" s="3">
        <v>0</v>
      </c>
      <c r="P431" s="3">
        <v>0</v>
      </c>
      <c r="Q431" s="3">
        <f t="shared" si="52"/>
        <v>2</v>
      </c>
      <c r="R431" s="1" t="s">
        <v>17</v>
      </c>
      <c r="S431" s="1" t="s">
        <v>23</v>
      </c>
      <c r="T431" s="3">
        <f t="shared" si="53"/>
        <v>0</v>
      </c>
      <c r="U431" s="44">
        <f>IF(Table1[[#This Row],[Initials]]="RM",$AE$10,IF(Table1[[#This Row],[Initials]]="JPH",$AE$11,IF(Table1[[#This Row],[Initials]]="IE",$AE$13,IF(Table1[[#This Row],[Initials]]="JM",$AE$14,1))))</f>
        <v>0.5</v>
      </c>
      <c r="V431" s="3">
        <f>Table1[[#This Row],[FTE %]]*Table1[[#This Row],[Time Worked]]</f>
        <v>1</v>
      </c>
      <c r="W4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31" s="38">
        <f t="shared" si="54"/>
        <v>123.86</v>
      </c>
      <c r="Y431" s="18">
        <f t="shared" si="55"/>
        <v>0</v>
      </c>
    </row>
    <row r="432" spans="1:25" x14ac:dyDescent="0.25">
      <c r="A432" s="10">
        <f t="shared" si="48"/>
        <v>431</v>
      </c>
      <c r="B432" s="6" t="str">
        <f t="shared" si="49"/>
        <v>81920192638RM</v>
      </c>
      <c r="C432" s="1" t="s">
        <v>967</v>
      </c>
      <c r="D432" s="1" t="s">
        <v>996</v>
      </c>
      <c r="E432" s="53" t="str">
        <f t="shared" si="50"/>
        <v>Unbilled</v>
      </c>
      <c r="F432" s="1">
        <v>2638</v>
      </c>
      <c r="G432" s="37" t="str">
        <f>VLOOKUP(Table1[[#This Row],[WO'#]],Table2[#All],2,FALSE)</f>
        <v>P&amp;M - 2nd Half 2019 (FY20)</v>
      </c>
      <c r="H432" s="20" t="s">
        <v>996</v>
      </c>
      <c r="I432" s="2">
        <v>43696</v>
      </c>
      <c r="J432" s="4">
        <f t="shared" si="51"/>
        <v>19</v>
      </c>
      <c r="K432" s="3">
        <v>0</v>
      </c>
      <c r="L432" s="3">
        <v>0</v>
      </c>
      <c r="M432" s="3">
        <v>0</v>
      </c>
      <c r="N432" s="3">
        <v>3</v>
      </c>
      <c r="O432" s="3">
        <v>0</v>
      </c>
      <c r="P432" s="3">
        <v>0</v>
      </c>
      <c r="Q432" s="3">
        <f t="shared" si="52"/>
        <v>3</v>
      </c>
      <c r="R432" s="1" t="s">
        <v>17</v>
      </c>
      <c r="S432" s="1" t="s">
        <v>23</v>
      </c>
      <c r="T432" s="3">
        <f t="shared" si="53"/>
        <v>0</v>
      </c>
      <c r="U432" s="44">
        <f>IF(Table1[[#This Row],[Initials]]="RM",$AE$10,IF(Table1[[#This Row],[Initials]]="JPH",$AE$11,IF(Table1[[#This Row],[Initials]]="IE",$AE$13,IF(Table1[[#This Row],[Initials]]="JM",$AE$14,1))))</f>
        <v>0.5</v>
      </c>
      <c r="V432" s="3">
        <f>Table1[[#This Row],[FTE %]]*Table1[[#This Row],[Time Worked]]</f>
        <v>1.5</v>
      </c>
      <c r="W4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32" s="38">
        <f t="shared" si="54"/>
        <v>185.79</v>
      </c>
      <c r="Y432" s="18">
        <f t="shared" si="55"/>
        <v>0</v>
      </c>
    </row>
    <row r="433" spans="1:25" x14ac:dyDescent="0.25">
      <c r="A433" s="10">
        <f t="shared" si="48"/>
        <v>432</v>
      </c>
      <c r="B433" s="6" t="str">
        <f t="shared" si="49"/>
        <v>82020192638IE</v>
      </c>
      <c r="C433" s="1" t="s">
        <v>967</v>
      </c>
      <c r="D433" s="1" t="s">
        <v>996</v>
      </c>
      <c r="E433" s="53" t="str">
        <f t="shared" si="50"/>
        <v>Unbilled</v>
      </c>
      <c r="F433" s="1">
        <v>2638</v>
      </c>
      <c r="G433" s="37" t="str">
        <f>VLOOKUP(Table1[[#This Row],[WO'#]],Table2[#All],2,FALSE)</f>
        <v>P&amp;M - 2nd Half 2019 (FY20)</v>
      </c>
      <c r="H433" s="20" t="s">
        <v>996</v>
      </c>
      <c r="I433" s="2">
        <v>43697</v>
      </c>
      <c r="J433" s="4">
        <f t="shared" si="51"/>
        <v>20</v>
      </c>
      <c r="K433" s="3">
        <v>3</v>
      </c>
      <c r="L433" s="3">
        <v>0</v>
      </c>
      <c r="M433" s="3">
        <v>0</v>
      </c>
      <c r="N433" s="3">
        <v>0</v>
      </c>
      <c r="O433" s="3">
        <v>0</v>
      </c>
      <c r="P433" s="3">
        <v>0</v>
      </c>
      <c r="Q433" s="3">
        <f t="shared" si="52"/>
        <v>3</v>
      </c>
      <c r="R433" s="1" t="s">
        <v>971</v>
      </c>
      <c r="S433" s="1" t="s">
        <v>23</v>
      </c>
      <c r="T433" s="3">
        <f t="shared" si="53"/>
        <v>0</v>
      </c>
      <c r="U433" s="44">
        <f>IF(Table1[[#This Row],[Initials]]="RM",$AE$10,IF(Table1[[#This Row],[Initials]]="JPH",$AE$11,IF(Table1[[#This Row],[Initials]]="IE",$AE$13,IF(Table1[[#This Row],[Initials]]="JM",$AE$14,1))))</f>
        <v>1</v>
      </c>
      <c r="V433" s="3">
        <f>Table1[[#This Row],[FTE %]]*Table1[[#This Row],[Time Worked]]</f>
        <v>3</v>
      </c>
      <c r="W4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33" s="38">
        <f t="shared" si="54"/>
        <v>185.79</v>
      </c>
      <c r="Y433" s="18">
        <f t="shared" si="55"/>
        <v>0</v>
      </c>
    </row>
    <row r="434" spans="1:25" x14ac:dyDescent="0.25">
      <c r="A434" s="10">
        <f t="shared" si="48"/>
        <v>433</v>
      </c>
      <c r="B434" s="6" t="str">
        <f t="shared" si="49"/>
        <v>82020192638JM</v>
      </c>
      <c r="C434" s="1" t="s">
        <v>967</v>
      </c>
      <c r="D434" s="1" t="s">
        <v>996</v>
      </c>
      <c r="E434" s="53" t="str">
        <f t="shared" si="50"/>
        <v>Unbilled</v>
      </c>
      <c r="F434" s="1">
        <v>2638</v>
      </c>
      <c r="G434" s="37" t="str">
        <f>VLOOKUP(Table1[[#This Row],[WO'#]],Table2[#All],2,FALSE)</f>
        <v>P&amp;M - 2nd Half 2019 (FY20)</v>
      </c>
      <c r="H434" s="20" t="s">
        <v>996</v>
      </c>
      <c r="I434" s="2">
        <v>43697</v>
      </c>
      <c r="J434" s="4">
        <f t="shared" si="51"/>
        <v>20</v>
      </c>
      <c r="K434" s="3">
        <v>3.75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f t="shared" si="52"/>
        <v>3.75</v>
      </c>
      <c r="R434" s="1" t="s">
        <v>972</v>
      </c>
      <c r="S434" s="1" t="s">
        <v>23</v>
      </c>
      <c r="T434" s="3">
        <f t="shared" si="53"/>
        <v>0</v>
      </c>
      <c r="U434" s="44">
        <f>IF(Table1[[#This Row],[Initials]]="RM",$AE$10,IF(Table1[[#This Row],[Initials]]="JPH",$AE$11,IF(Table1[[#This Row],[Initials]]="IE",$AE$13,IF(Table1[[#This Row],[Initials]]="JM",$AE$14,1))))</f>
        <v>0.39500000000000002</v>
      </c>
      <c r="V434" s="3">
        <f>Table1[[#This Row],[FTE %]]*Table1[[#This Row],[Time Worked]]</f>
        <v>1.4812500000000002</v>
      </c>
      <c r="W4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232.23750000000001</v>
      </c>
      <c r="X434" s="38">
        <f t="shared" si="54"/>
        <v>232.23750000000001</v>
      </c>
      <c r="Y434" s="18">
        <f t="shared" si="55"/>
        <v>0</v>
      </c>
    </row>
    <row r="435" spans="1:25" x14ac:dyDescent="0.25">
      <c r="A435" s="10">
        <f t="shared" si="48"/>
        <v>434</v>
      </c>
      <c r="B435" s="6" t="str">
        <f t="shared" si="49"/>
        <v>82020192638JPH</v>
      </c>
      <c r="C435" s="1" t="s">
        <v>967</v>
      </c>
      <c r="D435" s="1" t="s">
        <v>996</v>
      </c>
      <c r="E435" s="53" t="str">
        <f t="shared" si="50"/>
        <v>Unbilled</v>
      </c>
      <c r="F435" s="1">
        <v>2638</v>
      </c>
      <c r="G435" s="37" t="str">
        <f>VLOOKUP(Table1[[#This Row],[WO'#]],Table2[#All],2,FALSE)</f>
        <v>P&amp;M - 2nd Half 2019 (FY20)</v>
      </c>
      <c r="H435" s="20" t="s">
        <v>996</v>
      </c>
      <c r="I435" s="2">
        <v>43697</v>
      </c>
      <c r="J435" s="4">
        <f t="shared" si="51"/>
        <v>20</v>
      </c>
      <c r="K435" s="3">
        <v>0</v>
      </c>
      <c r="L435" s="3">
        <v>1.25</v>
      </c>
      <c r="M435" s="3">
        <v>0</v>
      </c>
      <c r="N435" s="3">
        <v>0</v>
      </c>
      <c r="O435" s="3">
        <v>0</v>
      </c>
      <c r="P435" s="3">
        <v>0</v>
      </c>
      <c r="Q435" s="3">
        <f t="shared" si="52"/>
        <v>1.25</v>
      </c>
      <c r="R435" s="1" t="s">
        <v>970</v>
      </c>
      <c r="S435" s="1" t="s">
        <v>23</v>
      </c>
      <c r="T435" s="3">
        <f t="shared" si="53"/>
        <v>0</v>
      </c>
      <c r="U435" s="44">
        <f>IF(Table1[[#This Row],[Initials]]="RM",$AE$10,IF(Table1[[#This Row],[Initials]]="JPH",$AE$11,IF(Table1[[#This Row],[Initials]]="IE",$AE$13,IF(Table1[[#This Row],[Initials]]="JM",$AE$14,1))))</f>
        <v>0.53</v>
      </c>
      <c r="V435" s="3">
        <f>Table1[[#This Row],[FTE %]]*Table1[[#This Row],[Time Worked]]</f>
        <v>0.66250000000000009</v>
      </c>
      <c r="W4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435" s="38">
        <f t="shared" si="54"/>
        <v>77.412499999999994</v>
      </c>
      <c r="Y435" s="18">
        <f t="shared" si="55"/>
        <v>0</v>
      </c>
    </row>
    <row r="436" spans="1:25" x14ac:dyDescent="0.25">
      <c r="A436" s="10">
        <f t="shared" si="48"/>
        <v>435</v>
      </c>
      <c r="B436" s="6" t="str">
        <f t="shared" si="49"/>
        <v>82020192638RM</v>
      </c>
      <c r="C436" s="1" t="s">
        <v>967</v>
      </c>
      <c r="D436" s="1" t="s">
        <v>996</v>
      </c>
      <c r="E436" s="53" t="str">
        <f t="shared" si="50"/>
        <v>Unbilled</v>
      </c>
      <c r="F436" s="1">
        <v>2638</v>
      </c>
      <c r="G436" s="37" t="str">
        <f>VLOOKUP(Table1[[#This Row],[WO'#]],Table2[#All],2,FALSE)</f>
        <v>P&amp;M - 2nd Half 2019 (FY20)</v>
      </c>
      <c r="H436" s="20" t="s">
        <v>996</v>
      </c>
      <c r="I436" s="2">
        <v>43697</v>
      </c>
      <c r="J436" s="4">
        <f t="shared" si="51"/>
        <v>20</v>
      </c>
      <c r="K436" s="3">
        <v>1.5</v>
      </c>
      <c r="L436" s="3">
        <v>0</v>
      </c>
      <c r="M436" s="3">
        <v>0</v>
      </c>
      <c r="N436" s="3">
        <v>0</v>
      </c>
      <c r="O436" s="3">
        <v>0</v>
      </c>
      <c r="P436" s="3">
        <v>0</v>
      </c>
      <c r="Q436" s="3">
        <f t="shared" si="52"/>
        <v>1.5</v>
      </c>
      <c r="R436" s="1" t="s">
        <v>17</v>
      </c>
      <c r="S436" s="1" t="s">
        <v>23</v>
      </c>
      <c r="T436" s="3">
        <f t="shared" si="53"/>
        <v>0</v>
      </c>
      <c r="U436" s="44">
        <f>IF(Table1[[#This Row],[Initials]]="RM",$AE$10,IF(Table1[[#This Row],[Initials]]="JPH",$AE$11,IF(Table1[[#This Row],[Initials]]="IE",$AE$13,IF(Table1[[#This Row],[Initials]]="JM",$AE$14,1))))</f>
        <v>0.5</v>
      </c>
      <c r="V436" s="3">
        <f>Table1[[#This Row],[FTE %]]*Table1[[#This Row],[Time Worked]]</f>
        <v>0.75</v>
      </c>
      <c r="W4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36" s="38">
        <f t="shared" si="54"/>
        <v>92.894999999999996</v>
      </c>
      <c r="Y436" s="18">
        <f t="shared" si="55"/>
        <v>0</v>
      </c>
    </row>
    <row r="437" spans="1:25" x14ac:dyDescent="0.25">
      <c r="A437" s="10">
        <f t="shared" si="48"/>
        <v>436</v>
      </c>
      <c r="B437" s="6" t="str">
        <f t="shared" si="49"/>
        <v>82120192638IE</v>
      </c>
      <c r="C437" s="1" t="s">
        <v>967</v>
      </c>
      <c r="D437" s="1" t="s">
        <v>996</v>
      </c>
      <c r="E437" s="53" t="str">
        <f t="shared" si="50"/>
        <v>Unbilled</v>
      </c>
      <c r="F437" s="1">
        <v>2638</v>
      </c>
      <c r="G437" s="37" t="str">
        <f>VLOOKUP(Table1[[#This Row],[WO'#]],Table2[#All],2,FALSE)</f>
        <v>P&amp;M - 2nd Half 2019 (FY20)</v>
      </c>
      <c r="H437" s="20" t="s">
        <v>996</v>
      </c>
      <c r="I437" s="2">
        <v>43698</v>
      </c>
      <c r="J437" s="4">
        <f t="shared" si="51"/>
        <v>21</v>
      </c>
      <c r="K437" s="3">
        <v>1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f t="shared" si="52"/>
        <v>1</v>
      </c>
      <c r="R437" s="1" t="s">
        <v>971</v>
      </c>
      <c r="S437" s="1" t="s">
        <v>23</v>
      </c>
      <c r="T437" s="3">
        <f t="shared" si="53"/>
        <v>0</v>
      </c>
      <c r="U437" s="44">
        <f>IF(Table1[[#This Row],[Initials]]="RM",$AE$10,IF(Table1[[#This Row],[Initials]]="JPH",$AE$11,IF(Table1[[#This Row],[Initials]]="IE",$AE$13,IF(Table1[[#This Row],[Initials]]="JM",$AE$14,1))))</f>
        <v>1</v>
      </c>
      <c r="V437" s="3">
        <f>Table1[[#This Row],[FTE %]]*Table1[[#This Row],[Time Worked]]</f>
        <v>1</v>
      </c>
      <c r="W4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37" s="38">
        <f t="shared" si="54"/>
        <v>61.93</v>
      </c>
      <c r="Y437" s="18">
        <f t="shared" si="55"/>
        <v>0</v>
      </c>
    </row>
    <row r="438" spans="1:25" x14ac:dyDescent="0.25">
      <c r="A438" s="10">
        <f t="shared" si="48"/>
        <v>437</v>
      </c>
      <c r="B438" s="6" t="str">
        <f t="shared" si="49"/>
        <v>82120192638JM</v>
      </c>
      <c r="C438" s="1" t="s">
        <v>967</v>
      </c>
      <c r="D438" s="1" t="s">
        <v>996</v>
      </c>
      <c r="E438" s="53" t="str">
        <f t="shared" si="50"/>
        <v>Unbilled</v>
      </c>
      <c r="F438" s="1">
        <v>2638</v>
      </c>
      <c r="G438" s="37" t="str">
        <f>VLOOKUP(Table1[[#This Row],[WO'#]],Table2[#All],2,FALSE)</f>
        <v>P&amp;M - 2nd Half 2019 (FY20)</v>
      </c>
      <c r="H438" s="20" t="s">
        <v>996</v>
      </c>
      <c r="I438" s="2">
        <v>43698</v>
      </c>
      <c r="J438" s="4">
        <f t="shared" si="51"/>
        <v>21</v>
      </c>
      <c r="K438" s="3">
        <v>0</v>
      </c>
      <c r="L438" s="3">
        <v>0.5</v>
      </c>
      <c r="M438" s="3">
        <v>0</v>
      </c>
      <c r="N438" s="3">
        <v>0</v>
      </c>
      <c r="O438" s="3">
        <v>0</v>
      </c>
      <c r="P438" s="3">
        <v>0</v>
      </c>
      <c r="Q438" s="3">
        <f t="shared" si="52"/>
        <v>0.5</v>
      </c>
      <c r="R438" s="1" t="s">
        <v>972</v>
      </c>
      <c r="S438" s="1" t="s">
        <v>23</v>
      </c>
      <c r="T438" s="3">
        <f t="shared" si="53"/>
        <v>0</v>
      </c>
      <c r="U438" s="44">
        <f>IF(Table1[[#This Row],[Initials]]="RM",$AE$10,IF(Table1[[#This Row],[Initials]]="JPH",$AE$11,IF(Table1[[#This Row],[Initials]]="IE",$AE$13,IF(Table1[[#This Row],[Initials]]="JM",$AE$14,1))))</f>
        <v>0.39500000000000002</v>
      </c>
      <c r="V438" s="3">
        <f>Table1[[#This Row],[FTE %]]*Table1[[#This Row],[Time Worked]]</f>
        <v>0.19750000000000001</v>
      </c>
      <c r="W4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38" s="38">
        <f t="shared" si="54"/>
        <v>30.965</v>
      </c>
      <c r="Y438" s="18">
        <f t="shared" si="55"/>
        <v>0</v>
      </c>
    </row>
    <row r="439" spans="1:25" x14ac:dyDescent="0.25">
      <c r="A439" s="10">
        <f t="shared" si="48"/>
        <v>438</v>
      </c>
      <c r="B439" s="6" t="str">
        <f t="shared" si="49"/>
        <v>82120192638JM</v>
      </c>
      <c r="C439" s="1" t="s">
        <v>967</v>
      </c>
      <c r="D439" s="1" t="s">
        <v>996</v>
      </c>
      <c r="E439" s="53" t="str">
        <f t="shared" si="50"/>
        <v>Unbilled</v>
      </c>
      <c r="F439" s="1">
        <v>2638</v>
      </c>
      <c r="G439" s="37" t="str">
        <f>VLOOKUP(Table1[[#This Row],[WO'#]],Table2[#All],2,FALSE)</f>
        <v>P&amp;M - 2nd Half 2019 (FY20)</v>
      </c>
      <c r="H439" s="20" t="s">
        <v>996</v>
      </c>
      <c r="I439" s="2">
        <v>43698</v>
      </c>
      <c r="J439" s="4">
        <f t="shared" si="51"/>
        <v>21</v>
      </c>
      <c r="K439" s="3">
        <v>2.5</v>
      </c>
      <c r="L439" s="3">
        <v>0</v>
      </c>
      <c r="M439" s="3">
        <v>0</v>
      </c>
      <c r="N439" s="3">
        <v>0</v>
      </c>
      <c r="O439" s="3">
        <v>0</v>
      </c>
      <c r="P439" s="3">
        <v>0</v>
      </c>
      <c r="Q439" s="3">
        <f t="shared" si="52"/>
        <v>2.5</v>
      </c>
      <c r="R439" s="1" t="s">
        <v>972</v>
      </c>
      <c r="S439" s="1" t="s">
        <v>23</v>
      </c>
      <c r="T439" s="3">
        <f t="shared" si="53"/>
        <v>0</v>
      </c>
      <c r="U439" s="44">
        <f>IF(Table1[[#This Row],[Initials]]="RM",$AE$10,IF(Table1[[#This Row],[Initials]]="JPH",$AE$11,IF(Table1[[#This Row],[Initials]]="IE",$AE$13,IF(Table1[[#This Row],[Initials]]="JM",$AE$14,1))))</f>
        <v>0.39500000000000002</v>
      </c>
      <c r="V439" s="3">
        <f>Table1[[#This Row],[FTE %]]*Table1[[#This Row],[Time Worked]]</f>
        <v>0.98750000000000004</v>
      </c>
      <c r="W4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154.82499999999999</v>
      </c>
      <c r="X439" s="38">
        <f t="shared" si="54"/>
        <v>154.82499999999999</v>
      </c>
      <c r="Y439" s="18">
        <f t="shared" si="55"/>
        <v>0</v>
      </c>
    </row>
    <row r="440" spans="1:25" x14ac:dyDescent="0.25">
      <c r="A440" s="10">
        <f t="shared" si="48"/>
        <v>439</v>
      </c>
      <c r="B440" s="6" t="str">
        <f t="shared" si="49"/>
        <v>82220192638JM</v>
      </c>
      <c r="C440" s="1" t="s">
        <v>967</v>
      </c>
      <c r="D440" s="1" t="s">
        <v>996</v>
      </c>
      <c r="E440" s="53" t="str">
        <f t="shared" si="50"/>
        <v>Unbilled</v>
      </c>
      <c r="F440" s="1">
        <v>2638</v>
      </c>
      <c r="G440" s="37" t="str">
        <f>VLOOKUP(Table1[[#This Row],[WO'#]],Table2[#All],2,FALSE)</f>
        <v>P&amp;M - 2nd Half 2019 (FY20)</v>
      </c>
      <c r="H440" s="20" t="s">
        <v>996</v>
      </c>
      <c r="I440" s="2">
        <v>43699</v>
      </c>
      <c r="J440" s="4">
        <f t="shared" si="51"/>
        <v>22</v>
      </c>
      <c r="K440" s="3">
        <v>0.5</v>
      </c>
      <c r="L440" s="3">
        <v>0</v>
      </c>
      <c r="M440" s="3">
        <v>0</v>
      </c>
      <c r="N440" s="3">
        <v>0</v>
      </c>
      <c r="O440" s="3">
        <v>0</v>
      </c>
      <c r="P440" s="3">
        <v>0</v>
      </c>
      <c r="Q440" s="3">
        <f t="shared" si="52"/>
        <v>0.5</v>
      </c>
      <c r="R440" s="1" t="s">
        <v>972</v>
      </c>
      <c r="S440" s="1" t="s">
        <v>23</v>
      </c>
      <c r="T440" s="3">
        <f t="shared" si="53"/>
        <v>0</v>
      </c>
      <c r="U440" s="44">
        <f>IF(Table1[[#This Row],[Initials]]="RM",$AE$10,IF(Table1[[#This Row],[Initials]]="JPH",$AE$11,IF(Table1[[#This Row],[Initials]]="IE",$AE$13,IF(Table1[[#This Row],[Initials]]="JM",$AE$14,1))))</f>
        <v>0.39500000000000002</v>
      </c>
      <c r="V440" s="3">
        <f>Table1[[#This Row],[FTE %]]*Table1[[#This Row],[Time Worked]]</f>
        <v>0.19750000000000001</v>
      </c>
      <c r="W4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40" s="38">
        <f t="shared" si="54"/>
        <v>30.965</v>
      </c>
      <c r="Y440" s="18">
        <f t="shared" si="55"/>
        <v>0</v>
      </c>
    </row>
    <row r="441" spans="1:25" x14ac:dyDescent="0.25">
      <c r="A441" s="10">
        <f t="shared" si="48"/>
        <v>440</v>
      </c>
      <c r="B441" s="6" t="str">
        <f t="shared" si="49"/>
        <v>82220192638JM</v>
      </c>
      <c r="C441" s="1" t="s">
        <v>967</v>
      </c>
      <c r="D441" s="1" t="s">
        <v>996</v>
      </c>
      <c r="E441" s="53" t="str">
        <f t="shared" si="50"/>
        <v>Unbilled</v>
      </c>
      <c r="F441" s="1">
        <v>2638</v>
      </c>
      <c r="G441" s="37" t="str">
        <f>VLOOKUP(Table1[[#This Row],[WO'#]],Table2[#All],2,FALSE)</f>
        <v>P&amp;M - 2nd Half 2019 (FY20)</v>
      </c>
      <c r="H441" s="20" t="s">
        <v>996</v>
      </c>
      <c r="I441" s="2">
        <v>43699</v>
      </c>
      <c r="J441" s="4">
        <f t="shared" si="51"/>
        <v>22</v>
      </c>
      <c r="K441" s="3">
        <v>0</v>
      </c>
      <c r="L441" s="3">
        <v>0</v>
      </c>
      <c r="M441" s="3">
        <v>0.5</v>
      </c>
      <c r="N441" s="3">
        <v>0</v>
      </c>
      <c r="O441" s="3">
        <v>0</v>
      </c>
      <c r="P441" s="3">
        <v>0</v>
      </c>
      <c r="Q441" s="3">
        <f t="shared" si="52"/>
        <v>0.5</v>
      </c>
      <c r="R441" s="1" t="s">
        <v>972</v>
      </c>
      <c r="S441" s="1" t="s">
        <v>23</v>
      </c>
      <c r="T441" s="3">
        <f t="shared" si="53"/>
        <v>0</v>
      </c>
      <c r="U441" s="44">
        <f>IF(Table1[[#This Row],[Initials]]="RM",$AE$10,IF(Table1[[#This Row],[Initials]]="JPH",$AE$11,IF(Table1[[#This Row],[Initials]]="IE",$AE$13,IF(Table1[[#This Row],[Initials]]="JM",$AE$14,1))))</f>
        <v>0.39500000000000002</v>
      </c>
      <c r="V441" s="3">
        <f>Table1[[#This Row],[FTE %]]*Table1[[#This Row],[Time Worked]]</f>
        <v>0.19750000000000001</v>
      </c>
      <c r="W4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41" s="38">
        <f t="shared" si="54"/>
        <v>30.965</v>
      </c>
      <c r="Y441" s="18">
        <f t="shared" si="55"/>
        <v>0</v>
      </c>
    </row>
    <row r="442" spans="1:25" x14ac:dyDescent="0.25">
      <c r="A442" s="10">
        <f t="shared" si="48"/>
        <v>441</v>
      </c>
      <c r="B442" s="6" t="str">
        <f t="shared" si="49"/>
        <v>82220192638RM</v>
      </c>
      <c r="C442" s="1" t="s">
        <v>967</v>
      </c>
      <c r="D442" s="1" t="s">
        <v>996</v>
      </c>
      <c r="E442" s="53" t="str">
        <f t="shared" si="50"/>
        <v>Unbilled</v>
      </c>
      <c r="F442" s="1">
        <v>2638</v>
      </c>
      <c r="G442" s="37" t="str">
        <f>VLOOKUP(Table1[[#This Row],[WO'#]],Table2[#All],2,FALSE)</f>
        <v>P&amp;M - 2nd Half 2019 (FY20)</v>
      </c>
      <c r="H442" s="20" t="s">
        <v>996</v>
      </c>
      <c r="I442" s="2">
        <v>43699</v>
      </c>
      <c r="J442" s="4">
        <f t="shared" si="51"/>
        <v>22</v>
      </c>
      <c r="K442" s="3">
        <v>0.5</v>
      </c>
      <c r="L442" s="3">
        <v>0</v>
      </c>
      <c r="M442" s="3">
        <v>0</v>
      </c>
      <c r="N442" s="3">
        <v>0</v>
      </c>
      <c r="O442" s="3">
        <v>0</v>
      </c>
      <c r="P442" s="3">
        <v>0</v>
      </c>
      <c r="Q442" s="3">
        <f t="shared" si="52"/>
        <v>0.5</v>
      </c>
      <c r="R442" s="1" t="s">
        <v>17</v>
      </c>
      <c r="S442" s="1" t="s">
        <v>23</v>
      </c>
      <c r="T442" s="3">
        <f t="shared" si="53"/>
        <v>0</v>
      </c>
      <c r="U442" s="44">
        <f>IF(Table1[[#This Row],[Initials]]="RM",$AE$10,IF(Table1[[#This Row],[Initials]]="JPH",$AE$11,IF(Table1[[#This Row],[Initials]]="IE",$AE$13,IF(Table1[[#This Row],[Initials]]="JM",$AE$14,1))))</f>
        <v>0.5</v>
      </c>
      <c r="V442" s="3">
        <f>Table1[[#This Row],[FTE %]]*Table1[[#This Row],[Time Worked]]</f>
        <v>0.25</v>
      </c>
      <c r="W4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42" s="38">
        <f t="shared" si="54"/>
        <v>30.965</v>
      </c>
      <c r="Y442" s="18">
        <f t="shared" si="55"/>
        <v>0</v>
      </c>
    </row>
    <row r="443" spans="1:25" x14ac:dyDescent="0.25">
      <c r="A443" s="10">
        <f t="shared" si="48"/>
        <v>442</v>
      </c>
      <c r="B443" s="6" t="str">
        <f t="shared" si="49"/>
        <v>82320192638JM</v>
      </c>
      <c r="C443" s="1" t="s">
        <v>967</v>
      </c>
      <c r="D443" s="1" t="s">
        <v>996</v>
      </c>
      <c r="E443" s="53" t="str">
        <f t="shared" si="50"/>
        <v>Unbilled</v>
      </c>
      <c r="F443" s="1">
        <v>2638</v>
      </c>
      <c r="G443" s="37" t="str">
        <f>VLOOKUP(Table1[[#This Row],[WO'#]],Table2[#All],2,FALSE)</f>
        <v>P&amp;M - 2nd Half 2019 (FY20)</v>
      </c>
      <c r="H443" s="20" t="s">
        <v>996</v>
      </c>
      <c r="I443" s="2">
        <v>43700</v>
      </c>
      <c r="J443" s="4">
        <f t="shared" si="51"/>
        <v>23</v>
      </c>
      <c r="K443" s="3">
        <v>0</v>
      </c>
      <c r="L443" s="3">
        <v>1.25</v>
      </c>
      <c r="M443" s="3">
        <v>0</v>
      </c>
      <c r="N443" s="3">
        <v>0</v>
      </c>
      <c r="O443" s="3">
        <v>0</v>
      </c>
      <c r="P443" s="3">
        <v>0</v>
      </c>
      <c r="Q443" s="3">
        <f t="shared" si="52"/>
        <v>1.25</v>
      </c>
      <c r="R443" s="1" t="s">
        <v>972</v>
      </c>
      <c r="S443" s="1" t="s">
        <v>23</v>
      </c>
      <c r="T443" s="3">
        <f t="shared" si="53"/>
        <v>0</v>
      </c>
      <c r="U443" s="44">
        <f>IF(Table1[[#This Row],[Initials]]="RM",$AE$10,IF(Table1[[#This Row],[Initials]]="JPH",$AE$11,IF(Table1[[#This Row],[Initials]]="IE",$AE$13,IF(Table1[[#This Row],[Initials]]="JM",$AE$14,1))))</f>
        <v>0.39500000000000002</v>
      </c>
      <c r="V443" s="3">
        <f>Table1[[#This Row],[FTE %]]*Table1[[#This Row],[Time Worked]]</f>
        <v>0.49375000000000002</v>
      </c>
      <c r="W4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443" s="38">
        <f t="shared" si="54"/>
        <v>77.412499999999994</v>
      </c>
      <c r="Y443" s="18">
        <f t="shared" si="55"/>
        <v>0</v>
      </c>
    </row>
    <row r="444" spans="1:25" x14ac:dyDescent="0.25">
      <c r="A444" s="10">
        <f t="shared" si="48"/>
        <v>443</v>
      </c>
      <c r="B444" s="6" t="str">
        <f t="shared" si="49"/>
        <v>82320192638JM</v>
      </c>
      <c r="C444" s="1" t="s">
        <v>967</v>
      </c>
      <c r="D444" s="1" t="s">
        <v>996</v>
      </c>
      <c r="E444" s="53" t="str">
        <f t="shared" si="50"/>
        <v>Unbilled</v>
      </c>
      <c r="F444" s="1">
        <v>2638</v>
      </c>
      <c r="G444" s="37" t="str">
        <f>VLOOKUP(Table1[[#This Row],[WO'#]],Table2[#All],2,FALSE)</f>
        <v>P&amp;M - 2nd Half 2019 (FY20)</v>
      </c>
      <c r="H444" s="20" t="s">
        <v>996</v>
      </c>
      <c r="I444" s="2">
        <v>43700</v>
      </c>
      <c r="J444" s="4">
        <f t="shared" si="51"/>
        <v>23</v>
      </c>
      <c r="K444" s="3">
        <v>3.5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f t="shared" si="52"/>
        <v>3.5</v>
      </c>
      <c r="R444" s="1" t="s">
        <v>972</v>
      </c>
      <c r="S444" s="1" t="s">
        <v>23</v>
      </c>
      <c r="T444" s="3">
        <f t="shared" si="53"/>
        <v>0</v>
      </c>
      <c r="U444" s="44">
        <f>IF(Table1[[#This Row],[Initials]]="RM",$AE$10,IF(Table1[[#This Row],[Initials]]="JPH",$AE$11,IF(Table1[[#This Row],[Initials]]="IE",$AE$13,IF(Table1[[#This Row],[Initials]]="JM",$AE$14,1))))</f>
        <v>0.39500000000000002</v>
      </c>
      <c r="V444" s="3">
        <f>Table1[[#This Row],[FTE %]]*Table1[[#This Row],[Time Worked]]</f>
        <v>1.3825000000000001</v>
      </c>
      <c r="W4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216.755</v>
      </c>
      <c r="X444" s="38">
        <f t="shared" si="54"/>
        <v>216.755</v>
      </c>
      <c r="Y444" s="18">
        <f t="shared" si="55"/>
        <v>0</v>
      </c>
    </row>
    <row r="445" spans="1:25" x14ac:dyDescent="0.25">
      <c r="A445" s="10">
        <f t="shared" si="48"/>
        <v>444</v>
      </c>
      <c r="B445" s="6" t="str">
        <f t="shared" si="49"/>
        <v>82320192638JM</v>
      </c>
      <c r="C445" s="1" t="s">
        <v>967</v>
      </c>
      <c r="D445" s="1" t="s">
        <v>996</v>
      </c>
      <c r="E445" s="53" t="str">
        <f t="shared" si="50"/>
        <v>Unbilled</v>
      </c>
      <c r="F445" s="1">
        <v>2638</v>
      </c>
      <c r="G445" s="37" t="str">
        <f>VLOOKUP(Table1[[#This Row],[WO'#]],Table2[#All],2,FALSE)</f>
        <v>P&amp;M - 2nd Half 2019 (FY20)</v>
      </c>
      <c r="H445" s="20" t="s">
        <v>996</v>
      </c>
      <c r="I445" s="2">
        <v>43700</v>
      </c>
      <c r="J445" s="4">
        <f t="shared" si="51"/>
        <v>23</v>
      </c>
      <c r="K445" s="3">
        <v>0</v>
      </c>
      <c r="L445" s="3">
        <v>0</v>
      </c>
      <c r="M445" s="3">
        <v>3</v>
      </c>
      <c r="N445" s="3">
        <v>0</v>
      </c>
      <c r="O445" s="3">
        <v>0</v>
      </c>
      <c r="P445" s="3">
        <v>0</v>
      </c>
      <c r="Q445" s="3">
        <f t="shared" si="52"/>
        <v>3</v>
      </c>
      <c r="R445" s="1" t="s">
        <v>972</v>
      </c>
      <c r="S445" s="1" t="s">
        <v>23</v>
      </c>
      <c r="T445" s="3">
        <f t="shared" si="53"/>
        <v>0</v>
      </c>
      <c r="U445" s="44">
        <f>IF(Table1[[#This Row],[Initials]]="RM",$AE$10,IF(Table1[[#This Row],[Initials]]="JPH",$AE$11,IF(Table1[[#This Row],[Initials]]="IE",$AE$13,IF(Table1[[#This Row],[Initials]]="JM",$AE$14,1))))</f>
        <v>0.39500000000000002</v>
      </c>
      <c r="V445" s="3">
        <f>Table1[[#This Row],[FTE %]]*Table1[[#This Row],[Time Worked]]</f>
        <v>1.1850000000000001</v>
      </c>
      <c r="W4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45" s="38">
        <f t="shared" si="54"/>
        <v>185.79</v>
      </c>
      <c r="Y445" s="18">
        <f t="shared" si="55"/>
        <v>0</v>
      </c>
    </row>
    <row r="446" spans="1:25" x14ac:dyDescent="0.25">
      <c r="A446" s="10">
        <f t="shared" si="48"/>
        <v>445</v>
      </c>
      <c r="B446" s="6" t="str">
        <f t="shared" si="49"/>
        <v>82620192638JM</v>
      </c>
      <c r="C446" s="1" t="s">
        <v>967</v>
      </c>
      <c r="D446" s="1" t="s">
        <v>996</v>
      </c>
      <c r="E446" s="53" t="str">
        <f t="shared" si="50"/>
        <v>Unbilled</v>
      </c>
      <c r="F446" s="1">
        <v>2638</v>
      </c>
      <c r="G446" s="37" t="str">
        <f>VLOOKUP(Table1[[#This Row],[WO'#]],Table2[#All],2,FALSE)</f>
        <v>P&amp;M - 2nd Half 2019 (FY20)</v>
      </c>
      <c r="H446" s="20" t="s">
        <v>996</v>
      </c>
      <c r="I446" s="2">
        <v>43703</v>
      </c>
      <c r="J446" s="4">
        <f t="shared" si="51"/>
        <v>26</v>
      </c>
      <c r="K446" s="3">
        <v>0.25</v>
      </c>
      <c r="L446" s="3">
        <v>0</v>
      </c>
      <c r="M446" s="3">
        <v>0</v>
      </c>
      <c r="N446" s="3">
        <v>0</v>
      </c>
      <c r="O446" s="3">
        <v>0</v>
      </c>
      <c r="P446" s="3">
        <v>0</v>
      </c>
      <c r="Q446" s="3">
        <f t="shared" si="52"/>
        <v>0.25</v>
      </c>
      <c r="R446" s="1" t="s">
        <v>972</v>
      </c>
      <c r="S446" s="1" t="s">
        <v>23</v>
      </c>
      <c r="T446" s="3">
        <f t="shared" si="53"/>
        <v>0</v>
      </c>
      <c r="U446" s="44">
        <f>IF(Table1[[#This Row],[Initials]]="RM",$AE$10,IF(Table1[[#This Row],[Initials]]="JPH",$AE$11,IF(Table1[[#This Row],[Initials]]="IE",$AE$13,IF(Table1[[#This Row],[Initials]]="JM",$AE$14,1))))</f>
        <v>0.39500000000000002</v>
      </c>
      <c r="V446" s="3">
        <f>Table1[[#This Row],[FTE %]]*Table1[[#This Row],[Time Worked]]</f>
        <v>9.8750000000000004E-2</v>
      </c>
      <c r="W4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46" s="38">
        <f t="shared" si="54"/>
        <v>15.4825</v>
      </c>
      <c r="Y446" s="18">
        <f t="shared" si="55"/>
        <v>0</v>
      </c>
    </row>
    <row r="447" spans="1:25" x14ac:dyDescent="0.25">
      <c r="A447" s="10">
        <f t="shared" si="48"/>
        <v>446</v>
      </c>
      <c r="B447" s="6" t="str">
        <f t="shared" si="49"/>
        <v>82620192638RM</v>
      </c>
      <c r="C447" s="1" t="s">
        <v>967</v>
      </c>
      <c r="D447" s="1" t="s">
        <v>996</v>
      </c>
      <c r="E447" s="53" t="str">
        <f t="shared" si="50"/>
        <v>Unbilled</v>
      </c>
      <c r="F447" s="1">
        <v>2638</v>
      </c>
      <c r="G447" s="37" t="str">
        <f>VLOOKUP(Table1[[#This Row],[WO'#]],Table2[#All],2,FALSE)</f>
        <v>P&amp;M - 2nd Half 2019 (FY20)</v>
      </c>
      <c r="H447" s="20" t="s">
        <v>996</v>
      </c>
      <c r="I447" s="2">
        <v>43703</v>
      </c>
      <c r="J447" s="4">
        <f t="shared" si="51"/>
        <v>26</v>
      </c>
      <c r="K447" s="3">
        <v>0</v>
      </c>
      <c r="L447" s="3">
        <v>0</v>
      </c>
      <c r="M447" s="3">
        <v>0</v>
      </c>
      <c r="N447" s="3">
        <v>2.25</v>
      </c>
      <c r="O447" s="3">
        <v>0</v>
      </c>
      <c r="P447" s="3">
        <v>0</v>
      </c>
      <c r="Q447" s="3">
        <f t="shared" si="52"/>
        <v>2.25</v>
      </c>
      <c r="R447" s="1" t="s">
        <v>17</v>
      </c>
      <c r="S447" s="1" t="s">
        <v>23</v>
      </c>
      <c r="T447" s="3">
        <f t="shared" si="53"/>
        <v>0</v>
      </c>
      <c r="U447" s="44">
        <f>IF(Table1[[#This Row],[Initials]]="RM",$AE$10,IF(Table1[[#This Row],[Initials]]="JPH",$AE$11,IF(Table1[[#This Row],[Initials]]="IE",$AE$13,IF(Table1[[#This Row],[Initials]]="JM",$AE$14,1))))</f>
        <v>0.5</v>
      </c>
      <c r="V447" s="3">
        <f>Table1[[#This Row],[FTE %]]*Table1[[#This Row],[Time Worked]]</f>
        <v>1.125</v>
      </c>
      <c r="W4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447" s="38">
        <f t="shared" si="54"/>
        <v>139.3425</v>
      </c>
      <c r="Y447" s="18">
        <f t="shared" si="55"/>
        <v>0</v>
      </c>
    </row>
    <row r="448" spans="1:25" x14ac:dyDescent="0.25">
      <c r="A448" s="10">
        <f t="shared" si="48"/>
        <v>447</v>
      </c>
      <c r="B448" s="6" t="str">
        <f t="shared" si="49"/>
        <v>82720192638JM</v>
      </c>
      <c r="C448" s="1" t="s">
        <v>967</v>
      </c>
      <c r="D448" s="1" t="s">
        <v>996</v>
      </c>
      <c r="E448" s="53" t="str">
        <f t="shared" si="50"/>
        <v>Unbilled</v>
      </c>
      <c r="F448" s="1">
        <v>2638</v>
      </c>
      <c r="G448" s="37" t="str">
        <f>VLOOKUP(Table1[[#This Row],[WO'#]],Table2[#All],2,FALSE)</f>
        <v>P&amp;M - 2nd Half 2019 (FY20)</v>
      </c>
      <c r="H448" s="20" t="s">
        <v>996</v>
      </c>
      <c r="I448" s="2">
        <v>43704</v>
      </c>
      <c r="J448" s="4">
        <f t="shared" si="51"/>
        <v>27</v>
      </c>
      <c r="K448" s="3">
        <v>5</v>
      </c>
      <c r="L448" s="3">
        <v>0</v>
      </c>
      <c r="M448" s="3">
        <v>0</v>
      </c>
      <c r="N448" s="3">
        <v>0</v>
      </c>
      <c r="O448" s="3">
        <v>0</v>
      </c>
      <c r="P448" s="3">
        <v>0</v>
      </c>
      <c r="Q448" s="3">
        <f t="shared" si="52"/>
        <v>5</v>
      </c>
      <c r="R448" s="1" t="s">
        <v>972</v>
      </c>
      <c r="S448" s="1" t="s">
        <v>23</v>
      </c>
      <c r="T448" s="3">
        <f t="shared" si="53"/>
        <v>0</v>
      </c>
      <c r="U448" s="44">
        <f>IF(Table1[[#This Row],[Initials]]="RM",$AE$10,IF(Table1[[#This Row],[Initials]]="JPH",$AE$11,IF(Table1[[#This Row],[Initials]]="IE",$AE$13,IF(Table1[[#This Row],[Initials]]="JM",$AE$14,1))))</f>
        <v>0.39500000000000002</v>
      </c>
      <c r="V448" s="3">
        <f>Table1[[#This Row],[FTE %]]*Table1[[#This Row],[Time Worked]]</f>
        <v>1.9750000000000001</v>
      </c>
      <c r="W4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309.64999999999998</v>
      </c>
      <c r="X448" s="38">
        <f t="shared" si="54"/>
        <v>309.64999999999998</v>
      </c>
      <c r="Y448" s="18">
        <f t="shared" si="55"/>
        <v>0</v>
      </c>
    </row>
    <row r="449" spans="1:25" x14ac:dyDescent="0.25">
      <c r="A449" s="10">
        <f t="shared" si="48"/>
        <v>448</v>
      </c>
      <c r="B449" s="6" t="str">
        <f t="shared" si="49"/>
        <v>82720192638JPH</v>
      </c>
      <c r="C449" s="1" t="s">
        <v>967</v>
      </c>
      <c r="D449" s="1" t="s">
        <v>996</v>
      </c>
      <c r="E449" s="53" t="str">
        <f t="shared" si="50"/>
        <v>Unbilled</v>
      </c>
      <c r="F449" s="1">
        <v>2638</v>
      </c>
      <c r="G449" s="37" t="str">
        <f>VLOOKUP(Table1[[#This Row],[WO'#]],Table2[#All],2,FALSE)</f>
        <v>P&amp;M - 2nd Half 2019 (FY20)</v>
      </c>
      <c r="H449" s="20" t="s">
        <v>996</v>
      </c>
      <c r="I449" s="2">
        <v>43704</v>
      </c>
      <c r="J449" s="4">
        <f t="shared" si="51"/>
        <v>27</v>
      </c>
      <c r="K449" s="3">
        <v>0</v>
      </c>
      <c r="L449" s="3">
        <v>1</v>
      </c>
      <c r="M449" s="3">
        <v>0</v>
      </c>
      <c r="N449" s="3">
        <v>0</v>
      </c>
      <c r="O449" s="3">
        <v>0</v>
      </c>
      <c r="P449" s="3">
        <v>0</v>
      </c>
      <c r="Q449" s="3">
        <f t="shared" si="52"/>
        <v>1</v>
      </c>
      <c r="R449" s="1" t="s">
        <v>970</v>
      </c>
      <c r="S449" s="1" t="s">
        <v>23</v>
      </c>
      <c r="T449" s="3">
        <f t="shared" si="53"/>
        <v>0</v>
      </c>
      <c r="U449" s="44">
        <f>IF(Table1[[#This Row],[Initials]]="RM",$AE$10,IF(Table1[[#This Row],[Initials]]="JPH",$AE$11,IF(Table1[[#This Row],[Initials]]="IE",$AE$13,IF(Table1[[#This Row],[Initials]]="JM",$AE$14,1))))</f>
        <v>0.53</v>
      </c>
      <c r="V449" s="3">
        <f>Table1[[#This Row],[FTE %]]*Table1[[#This Row],[Time Worked]]</f>
        <v>0.53</v>
      </c>
      <c r="W4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49" s="38">
        <f t="shared" si="54"/>
        <v>61.93</v>
      </c>
      <c r="Y449" s="18">
        <f t="shared" si="55"/>
        <v>0</v>
      </c>
    </row>
    <row r="450" spans="1:25" x14ac:dyDescent="0.25">
      <c r="A450" s="10">
        <f t="shared" ref="A450:A451" si="56">IF(IFERROR(A449+1,1)=1,1,A449+1)</f>
        <v>449</v>
      </c>
      <c r="B450" s="6" t="str">
        <f t="shared" ref="B450:B513" si="57">IF(I450="","",CONCATENATE(MONTH(I450),DAY(I450),YEAR(I450),F450,R450))</f>
        <v>82820192638JM</v>
      </c>
      <c r="C450" s="1" t="s">
        <v>967</v>
      </c>
      <c r="D450" s="1" t="s">
        <v>996</v>
      </c>
      <c r="E450" s="53" t="str">
        <f t="shared" ref="E450:E513" si="58">IF(ISNUMBER(FIND("GR",D450)),"External",IF(C450="NB","Unbilled",IF(AND(C450="Admin",F450=2642),"Annual",IF(AND(C450="Admin",F450=2643),"Comp",IF(AND(C450="Admin",F450=2640),"FMLA",IF(AND(C450="Admin",F450=2644),"Holiday",IF(AND(C450="Admin",F450=2646),"Sick",IF(AND(C450="Admin",F450=2645),"LWOP",IF(C450="Match","Match",IF(C450="WO","Write Off","Internal"))))))))))</f>
        <v>Unbilled</v>
      </c>
      <c r="F450" s="1">
        <v>2638</v>
      </c>
      <c r="G450" s="37" t="str">
        <f>VLOOKUP(Table1[[#This Row],[WO'#]],Table2[#All],2,FALSE)</f>
        <v>P&amp;M - 2nd Half 2019 (FY20)</v>
      </c>
      <c r="H450" s="20" t="s">
        <v>996</v>
      </c>
      <c r="I450" s="2">
        <v>43705</v>
      </c>
      <c r="J450" s="4">
        <f t="shared" ref="J450:J513" si="59">IF(I450="","",DAY(I450))</f>
        <v>28</v>
      </c>
      <c r="K450" s="3">
        <v>0</v>
      </c>
      <c r="L450" s="3">
        <v>0.5</v>
      </c>
      <c r="M450" s="3">
        <v>0</v>
      </c>
      <c r="N450" s="3">
        <v>0</v>
      </c>
      <c r="O450" s="3">
        <v>0</v>
      </c>
      <c r="P450" s="3">
        <v>0</v>
      </c>
      <c r="Q450" s="3">
        <f t="shared" ref="Q450:Q513" si="60">SUM(K450:P450)</f>
        <v>0.5</v>
      </c>
      <c r="R450" s="1" t="s">
        <v>972</v>
      </c>
      <c r="S450" s="1" t="s">
        <v>23</v>
      </c>
      <c r="T450" s="3">
        <f t="shared" ref="T450:T513" si="61">IF(R450="","",IF(OR(C450="WO",C450="Match",C450="NB",C450="Admin"),0,SUM(K450:P450)))</f>
        <v>0</v>
      </c>
      <c r="U450" s="44">
        <f>IF(Table1[[#This Row],[Initials]]="RM",$AE$10,IF(Table1[[#This Row],[Initials]]="JPH",$AE$11,IF(Table1[[#This Row],[Initials]]="IE",$AE$13,IF(Table1[[#This Row],[Initials]]="JM",$AE$14,1))))</f>
        <v>0.39500000000000002</v>
      </c>
      <c r="V450" s="3">
        <f>Table1[[#This Row],[FTE %]]*Table1[[#This Row],[Time Worked]]</f>
        <v>0.19750000000000001</v>
      </c>
      <c r="W4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50" s="38">
        <f t="shared" ref="X450:X513" si="62">IF(R450="","",IF(OR(C450="Match",C450="Write Off",C450&lt;&gt;"NB",C450="Admin"),0,IF(OR(R450="BOGD",R450="BOGC",R450="BLGDB",R450="BLGCR"),IF(AND(I450&gt;=$AE$3,I450&lt;=$AF$3),P450*$AD$3,IF(AND(I450&gt;=$AE$4,I450&lt;=$AF$4),P450*$AD$4,IF(AND(I450&gt;=$AE$5,I450&lt;=$AF$5),P450*$AD$5,IF(AND(I450&gt;=$AE$6,I450&lt;=$AF$6),P450*$AD$6,P450*$AD$7)))),IF(AND(I450&gt;=$AE$3,I450&lt;=$AF$3),Q450*$AD$3,IF(AND(I450&gt;=$AE$4,I450&lt;=$AF$4),Q450*$AD$4,IF(AND(I450&gt;=$AE$5,I450&lt;=$AF$5),Q450*$AD$5,IF(AND(I450&gt;=$AE$6,I450&lt;=$AF$6),Q450*$AD$6,Q450*$AD$7)))))))</f>
        <v>30.965</v>
      </c>
      <c r="Y450" s="18">
        <f t="shared" ref="Y450:Y513" si="63">IF(R450="","",IF(OR(C450="Match",C450="WO",C450="NB",C450="Admin"),0,IF(OR(R450="BOGD",R450="BOGC",R450="BLGDB",R450="BLGCR"),IF(AND(I450&gt;=$AE$3,I450&lt;=$AF$3),P450*$AD$3,IF(AND(I450&gt;=$AE$4,I450&lt;=$AF$4),P450*$AD$4,IF(AND(I450&gt;=$AE$5,I450&lt;=$AF$5),P450*$AD$5,IF(AND(I450&gt;=$AE$6,I450&lt;=$AF$6),P450*$AD$6,P450*$AD$7)))),IF(AND(I450&gt;=$AE$3,I450&lt;=$AF$3),Q450*$AD$3,IF(AND(I450&gt;=$AE$4,I450&lt;=$AF$4),Q450*$AD$4,IF(AND(I450&gt;=$AE$5,I450&lt;=$AF$5),Q450*$AD$5,IF(AND(I450&gt;=$AE$6,I450&lt;=$AF$6),Q450*$AD$6,Q450*$AD$7)))))))</f>
        <v>0</v>
      </c>
    </row>
    <row r="451" spans="1:25" x14ac:dyDescent="0.25">
      <c r="A451" s="10">
        <f t="shared" si="56"/>
        <v>450</v>
      </c>
      <c r="B451" s="6" t="str">
        <f t="shared" si="57"/>
        <v>82820192638JM</v>
      </c>
      <c r="C451" s="1" t="s">
        <v>967</v>
      </c>
      <c r="D451" s="1" t="s">
        <v>996</v>
      </c>
      <c r="E451" s="53" t="str">
        <f t="shared" si="58"/>
        <v>Unbilled</v>
      </c>
      <c r="F451" s="1">
        <v>2638</v>
      </c>
      <c r="G451" s="37" t="str">
        <f>VLOOKUP(Table1[[#This Row],[WO'#]],Table2[#All],2,FALSE)</f>
        <v>P&amp;M - 2nd Half 2019 (FY20)</v>
      </c>
      <c r="H451" s="20" t="s">
        <v>996</v>
      </c>
      <c r="I451" s="2">
        <v>43705</v>
      </c>
      <c r="J451" s="4">
        <f t="shared" si="59"/>
        <v>28</v>
      </c>
      <c r="K451" s="3">
        <v>4.5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  <c r="Q451" s="3">
        <f t="shared" si="60"/>
        <v>4.5</v>
      </c>
      <c r="R451" s="1" t="s">
        <v>972</v>
      </c>
      <c r="S451" s="1" t="s">
        <v>23</v>
      </c>
      <c r="T451" s="3">
        <f t="shared" si="61"/>
        <v>0</v>
      </c>
      <c r="U451" s="44">
        <f>IF(Table1[[#This Row],[Initials]]="RM",$AE$10,IF(Table1[[#This Row],[Initials]]="JPH",$AE$11,IF(Table1[[#This Row],[Initials]]="IE",$AE$13,IF(Table1[[#This Row],[Initials]]="JM",$AE$14,1))))</f>
        <v>0.39500000000000002</v>
      </c>
      <c r="V451" s="3">
        <f>Table1[[#This Row],[FTE %]]*Table1[[#This Row],[Time Worked]]</f>
        <v>1.7775000000000001</v>
      </c>
      <c r="W45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451" s="38">
        <f t="shared" si="62"/>
        <v>278.685</v>
      </c>
      <c r="Y451" s="18">
        <f t="shared" si="63"/>
        <v>0</v>
      </c>
    </row>
    <row r="452" spans="1:25" x14ac:dyDescent="0.25">
      <c r="A452" s="10">
        <f t="shared" ref="A452:A464" si="64">IF(IFERROR(A451+1,1)=1,1,A451+1)</f>
        <v>451</v>
      </c>
      <c r="B452" s="6" t="str">
        <f t="shared" si="57"/>
        <v>82820192638JPH</v>
      </c>
      <c r="C452" s="1" t="s">
        <v>967</v>
      </c>
      <c r="D452" s="1" t="s">
        <v>996</v>
      </c>
      <c r="E452" s="53" t="str">
        <f t="shared" si="58"/>
        <v>Unbilled</v>
      </c>
      <c r="F452" s="1">
        <v>2638</v>
      </c>
      <c r="G452" s="37" t="str">
        <f>VLOOKUP(Table1[[#This Row],[WO'#]],Table2[#All],2,FALSE)</f>
        <v>P&amp;M - 2nd Half 2019 (FY20)</v>
      </c>
      <c r="H452" s="20" t="s">
        <v>996</v>
      </c>
      <c r="I452" s="2">
        <v>43705</v>
      </c>
      <c r="J452" s="4">
        <f t="shared" si="59"/>
        <v>28</v>
      </c>
      <c r="K452" s="3">
        <v>0</v>
      </c>
      <c r="L452" s="3">
        <v>3.75</v>
      </c>
      <c r="M452" s="3">
        <v>0</v>
      </c>
      <c r="N452" s="3">
        <v>0</v>
      </c>
      <c r="O452" s="3">
        <v>0</v>
      </c>
      <c r="P452" s="3">
        <v>0</v>
      </c>
      <c r="Q452" s="3">
        <f t="shared" si="60"/>
        <v>3.75</v>
      </c>
      <c r="R452" s="1" t="s">
        <v>970</v>
      </c>
      <c r="S452" s="1" t="s">
        <v>23</v>
      </c>
      <c r="T452" s="3">
        <f t="shared" si="61"/>
        <v>0</v>
      </c>
      <c r="U452" s="44">
        <f>IF(Table1[[#This Row],[Initials]]="RM",$AE$10,IF(Table1[[#This Row],[Initials]]="JPH",$AE$11,IF(Table1[[#This Row],[Initials]]="IE",$AE$13,IF(Table1[[#This Row],[Initials]]="JM",$AE$14,1))))</f>
        <v>0.53</v>
      </c>
      <c r="V452" s="3">
        <f>Table1[[#This Row],[FTE %]]*Table1[[#This Row],[Time Worked]]</f>
        <v>1.9875</v>
      </c>
      <c r="W45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232.23750000000001</v>
      </c>
      <c r="X452" s="38">
        <f t="shared" si="62"/>
        <v>232.23750000000001</v>
      </c>
      <c r="Y452" s="18">
        <f t="shared" si="63"/>
        <v>0</v>
      </c>
    </row>
    <row r="453" spans="1:25" x14ac:dyDescent="0.25">
      <c r="A453" s="10">
        <f t="shared" si="64"/>
        <v>452</v>
      </c>
      <c r="B453" s="6" t="str">
        <f t="shared" si="57"/>
        <v>82820192638RM</v>
      </c>
      <c r="C453" s="1" t="s">
        <v>967</v>
      </c>
      <c r="D453" s="1" t="s">
        <v>996</v>
      </c>
      <c r="E453" s="53" t="str">
        <f t="shared" si="58"/>
        <v>Unbilled</v>
      </c>
      <c r="F453" s="1">
        <v>2638</v>
      </c>
      <c r="G453" s="37" t="str">
        <f>VLOOKUP(Table1[[#This Row],[WO'#]],Table2[#All],2,FALSE)</f>
        <v>P&amp;M - 2nd Half 2019 (FY20)</v>
      </c>
      <c r="H453" s="20" t="s">
        <v>996</v>
      </c>
      <c r="I453" s="2">
        <v>43705</v>
      </c>
      <c r="J453" s="4">
        <f t="shared" si="59"/>
        <v>28</v>
      </c>
      <c r="K453" s="3">
        <v>0</v>
      </c>
      <c r="L453" s="3">
        <v>0</v>
      </c>
      <c r="M453" s="3">
        <v>0</v>
      </c>
      <c r="N453" s="3">
        <v>1.5</v>
      </c>
      <c r="O453" s="3">
        <v>0</v>
      </c>
      <c r="P453" s="3">
        <v>0</v>
      </c>
      <c r="Q453" s="3">
        <f t="shared" si="60"/>
        <v>1.5</v>
      </c>
      <c r="R453" s="1" t="s">
        <v>17</v>
      </c>
      <c r="S453" s="1" t="s">
        <v>23</v>
      </c>
      <c r="T453" s="3">
        <f t="shared" si="61"/>
        <v>0</v>
      </c>
      <c r="U453" s="44">
        <f>IF(Table1[[#This Row],[Initials]]="RM",$AE$10,IF(Table1[[#This Row],[Initials]]="JPH",$AE$11,IF(Table1[[#This Row],[Initials]]="IE",$AE$13,IF(Table1[[#This Row],[Initials]]="JM",$AE$14,1))))</f>
        <v>0.5</v>
      </c>
      <c r="V453" s="3">
        <f>Table1[[#This Row],[FTE %]]*Table1[[#This Row],[Time Worked]]</f>
        <v>0.75</v>
      </c>
      <c r="W45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53" s="38">
        <f t="shared" si="62"/>
        <v>92.894999999999996</v>
      </c>
      <c r="Y453" s="18">
        <f t="shared" si="63"/>
        <v>0</v>
      </c>
    </row>
    <row r="454" spans="1:25" x14ac:dyDescent="0.25">
      <c r="A454" s="10">
        <f t="shared" si="64"/>
        <v>453</v>
      </c>
      <c r="B454" s="6" t="str">
        <f t="shared" si="57"/>
        <v>82920192638JM</v>
      </c>
      <c r="C454" s="1" t="s">
        <v>967</v>
      </c>
      <c r="D454" s="1" t="s">
        <v>996</v>
      </c>
      <c r="E454" s="53" t="str">
        <f t="shared" si="58"/>
        <v>Unbilled</v>
      </c>
      <c r="F454" s="1">
        <v>2638</v>
      </c>
      <c r="G454" s="37" t="str">
        <f>VLOOKUP(Table1[[#This Row],[WO'#]],Table2[#All],2,FALSE)</f>
        <v>P&amp;M - 2nd Half 2019 (FY20)</v>
      </c>
      <c r="H454" s="20" t="s">
        <v>996</v>
      </c>
      <c r="I454" s="2">
        <v>43706</v>
      </c>
      <c r="J454" s="4">
        <f t="shared" si="59"/>
        <v>29</v>
      </c>
      <c r="K454" s="3">
        <v>0</v>
      </c>
      <c r="L454" s="3">
        <v>0</v>
      </c>
      <c r="M454" s="3">
        <v>0.5</v>
      </c>
      <c r="N454" s="3">
        <v>0</v>
      </c>
      <c r="O454" s="3">
        <v>0</v>
      </c>
      <c r="P454" s="3">
        <v>0</v>
      </c>
      <c r="Q454" s="3">
        <f t="shared" si="60"/>
        <v>0.5</v>
      </c>
      <c r="R454" s="1" t="s">
        <v>972</v>
      </c>
      <c r="S454" s="1" t="s">
        <v>23</v>
      </c>
      <c r="T454" s="3">
        <f t="shared" si="61"/>
        <v>0</v>
      </c>
      <c r="U454" s="44">
        <f>IF(Table1[[#This Row],[Initials]]="RM",$AE$10,IF(Table1[[#This Row],[Initials]]="JPH",$AE$11,IF(Table1[[#This Row],[Initials]]="IE",$AE$13,IF(Table1[[#This Row],[Initials]]="JM",$AE$14,1))))</f>
        <v>0.39500000000000002</v>
      </c>
      <c r="V454" s="3">
        <f>Table1[[#This Row],[FTE %]]*Table1[[#This Row],[Time Worked]]</f>
        <v>0.19750000000000001</v>
      </c>
      <c r="W45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54" s="38">
        <f t="shared" si="62"/>
        <v>30.965</v>
      </c>
      <c r="Y454" s="18">
        <f t="shared" si="63"/>
        <v>0</v>
      </c>
    </row>
    <row r="455" spans="1:25" x14ac:dyDescent="0.25">
      <c r="A455" s="10">
        <f t="shared" si="64"/>
        <v>454</v>
      </c>
      <c r="B455" s="6" t="str">
        <f t="shared" si="57"/>
        <v>82920192638JM</v>
      </c>
      <c r="C455" s="1" t="s">
        <v>967</v>
      </c>
      <c r="D455" s="1" t="s">
        <v>996</v>
      </c>
      <c r="E455" s="53" t="str">
        <f t="shared" si="58"/>
        <v>Unbilled</v>
      </c>
      <c r="F455" s="1">
        <v>2638</v>
      </c>
      <c r="G455" s="37" t="str">
        <f>VLOOKUP(Table1[[#This Row],[WO'#]],Table2[#All],2,FALSE)</f>
        <v>P&amp;M - 2nd Half 2019 (FY20)</v>
      </c>
      <c r="H455" s="20" t="s">
        <v>996</v>
      </c>
      <c r="I455" s="2">
        <v>43706</v>
      </c>
      <c r="J455" s="4">
        <f t="shared" si="59"/>
        <v>29</v>
      </c>
      <c r="K455" s="3">
        <v>1.75</v>
      </c>
      <c r="L455" s="3">
        <v>0</v>
      </c>
      <c r="M455" s="3">
        <v>0</v>
      </c>
      <c r="N455" s="3">
        <v>0</v>
      </c>
      <c r="O455" s="3">
        <v>0</v>
      </c>
      <c r="P455" s="3">
        <v>0</v>
      </c>
      <c r="Q455" s="3">
        <f t="shared" si="60"/>
        <v>1.75</v>
      </c>
      <c r="R455" s="1" t="s">
        <v>972</v>
      </c>
      <c r="S455" s="1" t="s">
        <v>23</v>
      </c>
      <c r="T455" s="3">
        <f t="shared" si="61"/>
        <v>0</v>
      </c>
      <c r="U455" s="44">
        <f>IF(Table1[[#This Row],[Initials]]="RM",$AE$10,IF(Table1[[#This Row],[Initials]]="JPH",$AE$11,IF(Table1[[#This Row],[Initials]]="IE",$AE$13,IF(Table1[[#This Row],[Initials]]="JM",$AE$14,1))))</f>
        <v>0.39500000000000002</v>
      </c>
      <c r="V455" s="3">
        <f>Table1[[#This Row],[FTE %]]*Table1[[#This Row],[Time Worked]]</f>
        <v>0.69125000000000003</v>
      </c>
      <c r="W45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455" s="38">
        <f t="shared" si="62"/>
        <v>108.3775</v>
      </c>
      <c r="Y455" s="18">
        <f t="shared" si="63"/>
        <v>0</v>
      </c>
    </row>
    <row r="456" spans="1:25" x14ac:dyDescent="0.25">
      <c r="A456" s="10">
        <f t="shared" si="64"/>
        <v>455</v>
      </c>
      <c r="B456" s="6" t="str">
        <f t="shared" si="57"/>
        <v>82920192638JPH</v>
      </c>
      <c r="C456" s="1" t="s">
        <v>967</v>
      </c>
      <c r="D456" s="1" t="s">
        <v>996</v>
      </c>
      <c r="E456" s="53" t="str">
        <f t="shared" si="58"/>
        <v>Unbilled</v>
      </c>
      <c r="F456" s="1">
        <v>2638</v>
      </c>
      <c r="G456" s="37" t="str">
        <f>VLOOKUP(Table1[[#This Row],[WO'#]],Table2[#All],2,FALSE)</f>
        <v>P&amp;M - 2nd Half 2019 (FY20)</v>
      </c>
      <c r="H456" s="20" t="s">
        <v>996</v>
      </c>
      <c r="I456" s="2">
        <v>43706</v>
      </c>
      <c r="J456" s="4">
        <f t="shared" si="59"/>
        <v>29</v>
      </c>
      <c r="K456" s="3">
        <v>0</v>
      </c>
      <c r="L456" s="3">
        <v>3.75</v>
      </c>
      <c r="M456" s="3">
        <v>0</v>
      </c>
      <c r="N456" s="3">
        <v>0</v>
      </c>
      <c r="O456" s="3">
        <v>0</v>
      </c>
      <c r="P456" s="3">
        <v>0</v>
      </c>
      <c r="Q456" s="3">
        <f t="shared" si="60"/>
        <v>3.75</v>
      </c>
      <c r="R456" s="1" t="s">
        <v>970</v>
      </c>
      <c r="S456" s="1" t="s">
        <v>23</v>
      </c>
      <c r="T456" s="3">
        <f t="shared" si="61"/>
        <v>0</v>
      </c>
      <c r="U456" s="44">
        <f>IF(Table1[[#This Row],[Initials]]="RM",$AE$10,IF(Table1[[#This Row],[Initials]]="JPH",$AE$11,IF(Table1[[#This Row],[Initials]]="IE",$AE$13,IF(Table1[[#This Row],[Initials]]="JM",$AE$14,1))))</f>
        <v>0.53</v>
      </c>
      <c r="V456" s="3">
        <f>Table1[[#This Row],[FTE %]]*Table1[[#This Row],[Time Worked]]</f>
        <v>1.9875</v>
      </c>
      <c r="W45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232.23750000000001</v>
      </c>
      <c r="X456" s="38">
        <f t="shared" si="62"/>
        <v>232.23750000000001</v>
      </c>
      <c r="Y456" s="18">
        <f t="shared" si="63"/>
        <v>0</v>
      </c>
    </row>
    <row r="457" spans="1:25" x14ac:dyDescent="0.25">
      <c r="A457" s="10">
        <f t="shared" si="64"/>
        <v>456</v>
      </c>
      <c r="B457" s="6" t="str">
        <f t="shared" si="57"/>
        <v>82920192638RM</v>
      </c>
      <c r="C457" s="1" t="s">
        <v>967</v>
      </c>
      <c r="D457" s="1" t="s">
        <v>996</v>
      </c>
      <c r="E457" s="53" t="str">
        <f t="shared" si="58"/>
        <v>Unbilled</v>
      </c>
      <c r="F457" s="1">
        <v>2638</v>
      </c>
      <c r="G457" s="37" t="str">
        <f>VLOOKUP(Table1[[#This Row],[WO'#]],Table2[#All],2,FALSE)</f>
        <v>P&amp;M - 2nd Half 2019 (FY20)</v>
      </c>
      <c r="H457" s="20" t="s">
        <v>996</v>
      </c>
      <c r="I457" s="2">
        <v>43706</v>
      </c>
      <c r="J457" s="4">
        <f t="shared" si="59"/>
        <v>29</v>
      </c>
      <c r="K457" s="3">
        <v>0.5</v>
      </c>
      <c r="L457" s="3">
        <v>0</v>
      </c>
      <c r="M457" s="3">
        <v>0</v>
      </c>
      <c r="N457" s="3">
        <v>0</v>
      </c>
      <c r="O457" s="3">
        <v>0</v>
      </c>
      <c r="P457" s="3">
        <v>0</v>
      </c>
      <c r="Q457" s="3">
        <f t="shared" si="60"/>
        <v>0.5</v>
      </c>
      <c r="R457" s="1" t="s">
        <v>17</v>
      </c>
      <c r="S457" s="1" t="s">
        <v>23</v>
      </c>
      <c r="T457" s="3">
        <f t="shared" si="61"/>
        <v>0</v>
      </c>
      <c r="U457" s="44">
        <f>IF(Table1[[#This Row],[Initials]]="RM",$AE$10,IF(Table1[[#This Row],[Initials]]="JPH",$AE$11,IF(Table1[[#This Row],[Initials]]="IE",$AE$13,IF(Table1[[#This Row],[Initials]]="JM",$AE$14,1))))</f>
        <v>0.5</v>
      </c>
      <c r="V457" s="3">
        <f>Table1[[#This Row],[FTE %]]*Table1[[#This Row],[Time Worked]]</f>
        <v>0.25</v>
      </c>
      <c r="W45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57" s="38">
        <f t="shared" si="62"/>
        <v>30.965</v>
      </c>
      <c r="Y457" s="18">
        <f t="shared" si="63"/>
        <v>0</v>
      </c>
    </row>
    <row r="458" spans="1:25" x14ac:dyDescent="0.25">
      <c r="A458" s="10">
        <f t="shared" si="64"/>
        <v>457</v>
      </c>
      <c r="B458" s="6" t="str">
        <f t="shared" si="57"/>
        <v>82920192638RM</v>
      </c>
      <c r="C458" s="1" t="s">
        <v>967</v>
      </c>
      <c r="D458" s="1" t="s">
        <v>996</v>
      </c>
      <c r="E458" s="53" t="str">
        <f t="shared" si="58"/>
        <v>Unbilled</v>
      </c>
      <c r="F458" s="1">
        <v>2638</v>
      </c>
      <c r="G458" s="37" t="str">
        <f>VLOOKUP(Table1[[#This Row],[WO'#]],Table2[#All],2,FALSE)</f>
        <v>P&amp;M - 2nd Half 2019 (FY20)</v>
      </c>
      <c r="H458" s="20" t="s">
        <v>996</v>
      </c>
      <c r="I458" s="2">
        <v>43706</v>
      </c>
      <c r="J458" s="4">
        <f t="shared" si="59"/>
        <v>29</v>
      </c>
      <c r="K458" s="3">
        <v>0</v>
      </c>
      <c r="L458" s="3">
        <v>1.5</v>
      </c>
      <c r="M458" s="3">
        <v>0</v>
      </c>
      <c r="N458" s="3">
        <v>0</v>
      </c>
      <c r="O458" s="3">
        <v>0</v>
      </c>
      <c r="P458" s="3">
        <v>0</v>
      </c>
      <c r="Q458" s="3">
        <f t="shared" si="60"/>
        <v>1.5</v>
      </c>
      <c r="R458" s="1" t="s">
        <v>17</v>
      </c>
      <c r="S458" s="1" t="s">
        <v>23</v>
      </c>
      <c r="T458" s="3">
        <f t="shared" si="61"/>
        <v>0</v>
      </c>
      <c r="U458" s="44">
        <f>IF(Table1[[#This Row],[Initials]]="RM",$AE$10,IF(Table1[[#This Row],[Initials]]="JPH",$AE$11,IF(Table1[[#This Row],[Initials]]="IE",$AE$13,IF(Table1[[#This Row],[Initials]]="JM",$AE$14,1))))</f>
        <v>0.5</v>
      </c>
      <c r="V458" s="3">
        <f>Table1[[#This Row],[FTE %]]*Table1[[#This Row],[Time Worked]]</f>
        <v>0.75</v>
      </c>
      <c r="W45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58" s="38">
        <f t="shared" si="62"/>
        <v>92.894999999999996</v>
      </c>
      <c r="Y458" s="18">
        <f t="shared" si="63"/>
        <v>0</v>
      </c>
    </row>
    <row r="459" spans="1:25" x14ac:dyDescent="0.25">
      <c r="A459" s="10">
        <f t="shared" si="64"/>
        <v>458</v>
      </c>
      <c r="B459" s="6" t="str">
        <f t="shared" si="57"/>
        <v>83020192638JM</v>
      </c>
      <c r="C459" s="1" t="s">
        <v>967</v>
      </c>
      <c r="D459" s="1" t="s">
        <v>996</v>
      </c>
      <c r="E459" s="53" t="str">
        <f t="shared" si="58"/>
        <v>Unbilled</v>
      </c>
      <c r="F459" s="1">
        <v>2638</v>
      </c>
      <c r="G459" s="37" t="str">
        <f>VLOOKUP(Table1[[#This Row],[WO'#]],Table2[#All],2,FALSE)</f>
        <v>P&amp;M - 2nd Half 2019 (FY20)</v>
      </c>
      <c r="H459" s="20" t="s">
        <v>996</v>
      </c>
      <c r="I459" s="2">
        <v>43707</v>
      </c>
      <c r="J459" s="4">
        <f t="shared" si="59"/>
        <v>30</v>
      </c>
      <c r="K459" s="3">
        <v>0</v>
      </c>
      <c r="L459" s="3">
        <v>0.25</v>
      </c>
      <c r="M459" s="3">
        <v>0</v>
      </c>
      <c r="N459" s="3">
        <v>0</v>
      </c>
      <c r="O459" s="3">
        <v>0</v>
      </c>
      <c r="P459" s="3">
        <v>0</v>
      </c>
      <c r="Q459" s="3">
        <f t="shared" si="60"/>
        <v>0.25</v>
      </c>
      <c r="R459" s="1" t="s">
        <v>972</v>
      </c>
      <c r="S459" s="1" t="s">
        <v>23</v>
      </c>
      <c r="T459" s="3">
        <f t="shared" si="61"/>
        <v>0</v>
      </c>
      <c r="U459" s="44">
        <f>IF(Table1[[#This Row],[Initials]]="RM",$AE$10,IF(Table1[[#This Row],[Initials]]="JPH",$AE$11,IF(Table1[[#This Row],[Initials]]="IE",$AE$13,IF(Table1[[#This Row],[Initials]]="JM",$AE$14,1))))</f>
        <v>0.39500000000000002</v>
      </c>
      <c r="V459" s="3">
        <f>Table1[[#This Row],[FTE %]]*Table1[[#This Row],[Time Worked]]</f>
        <v>9.8750000000000004E-2</v>
      </c>
      <c r="W45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59" s="38">
        <f t="shared" si="62"/>
        <v>15.4825</v>
      </c>
      <c r="Y459" s="18">
        <f t="shared" si="63"/>
        <v>0</v>
      </c>
    </row>
    <row r="460" spans="1:25" x14ac:dyDescent="0.25">
      <c r="A460" s="10">
        <f t="shared" si="64"/>
        <v>459</v>
      </c>
      <c r="B460" s="6" t="str">
        <f t="shared" si="57"/>
        <v>83020192638JM</v>
      </c>
      <c r="C460" s="1" t="s">
        <v>967</v>
      </c>
      <c r="D460" s="1" t="s">
        <v>996</v>
      </c>
      <c r="E460" s="53" t="str">
        <f t="shared" si="58"/>
        <v>Unbilled</v>
      </c>
      <c r="F460" s="1">
        <v>2638</v>
      </c>
      <c r="G460" s="37" t="str">
        <f>VLOOKUP(Table1[[#This Row],[WO'#]],Table2[#All],2,FALSE)</f>
        <v>P&amp;M - 2nd Half 2019 (FY20)</v>
      </c>
      <c r="H460" s="20" t="s">
        <v>996</v>
      </c>
      <c r="I460" s="2">
        <v>43707</v>
      </c>
      <c r="J460" s="4">
        <f t="shared" si="59"/>
        <v>30</v>
      </c>
      <c r="K460" s="3">
        <v>7.75</v>
      </c>
      <c r="L460" s="3">
        <v>0</v>
      </c>
      <c r="M460" s="3">
        <v>0</v>
      </c>
      <c r="N460" s="3">
        <v>0</v>
      </c>
      <c r="O460" s="3">
        <v>0</v>
      </c>
      <c r="P460" s="3">
        <v>0</v>
      </c>
      <c r="Q460" s="3">
        <f t="shared" si="60"/>
        <v>7.75</v>
      </c>
      <c r="R460" s="1" t="s">
        <v>972</v>
      </c>
      <c r="S460" s="1" t="s">
        <v>23</v>
      </c>
      <c r="T460" s="3">
        <f t="shared" si="61"/>
        <v>0</v>
      </c>
      <c r="U460" s="44">
        <f>IF(Table1[[#This Row],[Initials]]="RM",$AE$10,IF(Table1[[#This Row],[Initials]]="JPH",$AE$11,IF(Table1[[#This Row],[Initials]]="IE",$AE$13,IF(Table1[[#This Row],[Initials]]="JM",$AE$14,1))))</f>
        <v>0.39500000000000002</v>
      </c>
      <c r="V460" s="3">
        <f>Table1[[#This Row],[FTE %]]*Table1[[#This Row],[Time Worked]]</f>
        <v>3.0612500000000002</v>
      </c>
      <c r="W46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479.95749999999998</v>
      </c>
      <c r="X460" s="38">
        <f t="shared" si="62"/>
        <v>479.95749999999998</v>
      </c>
      <c r="Y460" s="18">
        <f t="shared" si="63"/>
        <v>0</v>
      </c>
    </row>
    <row r="461" spans="1:25" x14ac:dyDescent="0.25">
      <c r="A461" s="10">
        <f t="shared" si="64"/>
        <v>460</v>
      </c>
      <c r="B461" s="6" t="str">
        <f t="shared" si="57"/>
        <v>83020192638JPH</v>
      </c>
      <c r="C461" s="1" t="s">
        <v>967</v>
      </c>
      <c r="D461" s="1" t="s">
        <v>996</v>
      </c>
      <c r="E461" s="53" t="str">
        <f t="shared" si="58"/>
        <v>Unbilled</v>
      </c>
      <c r="F461" s="1">
        <v>2638</v>
      </c>
      <c r="G461" s="37" t="str">
        <f>VLOOKUP(Table1[[#This Row],[WO'#]],Table2[#All],2,FALSE)</f>
        <v>P&amp;M - 2nd Half 2019 (FY20)</v>
      </c>
      <c r="H461" s="20" t="s">
        <v>996</v>
      </c>
      <c r="I461" s="2">
        <v>43707</v>
      </c>
      <c r="J461" s="4">
        <f t="shared" si="59"/>
        <v>30</v>
      </c>
      <c r="K461" s="3">
        <v>0</v>
      </c>
      <c r="L461" s="3">
        <v>2</v>
      </c>
      <c r="M461" s="3">
        <v>0</v>
      </c>
      <c r="N461" s="3">
        <v>0</v>
      </c>
      <c r="O461" s="3">
        <v>0</v>
      </c>
      <c r="P461" s="3">
        <v>0</v>
      </c>
      <c r="Q461" s="3">
        <f t="shared" si="60"/>
        <v>2</v>
      </c>
      <c r="R461" s="1" t="s">
        <v>970</v>
      </c>
      <c r="S461" s="1" t="s">
        <v>23</v>
      </c>
      <c r="T461" s="3">
        <f t="shared" si="61"/>
        <v>0</v>
      </c>
      <c r="U461" s="44">
        <f>IF(Table1[[#This Row],[Initials]]="RM",$AE$10,IF(Table1[[#This Row],[Initials]]="JPH",$AE$11,IF(Table1[[#This Row],[Initials]]="IE",$AE$13,IF(Table1[[#This Row],[Initials]]="JM",$AE$14,1))))</f>
        <v>0.53</v>
      </c>
      <c r="V461" s="3">
        <f>Table1[[#This Row],[FTE %]]*Table1[[#This Row],[Time Worked]]</f>
        <v>1.06</v>
      </c>
      <c r="W46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61" s="38">
        <f t="shared" si="62"/>
        <v>123.86</v>
      </c>
      <c r="Y461" s="18">
        <f t="shared" si="63"/>
        <v>0</v>
      </c>
    </row>
    <row r="462" spans="1:25" x14ac:dyDescent="0.25">
      <c r="A462" s="10">
        <f t="shared" si="64"/>
        <v>461</v>
      </c>
      <c r="B462" s="6" t="str">
        <f t="shared" si="57"/>
        <v>83020192638RM</v>
      </c>
      <c r="C462" s="1" t="s">
        <v>967</v>
      </c>
      <c r="D462" s="1" t="s">
        <v>996</v>
      </c>
      <c r="E462" s="53" t="str">
        <f t="shared" si="58"/>
        <v>Unbilled</v>
      </c>
      <c r="F462" s="1">
        <v>2638</v>
      </c>
      <c r="G462" s="37" t="str">
        <f>VLOOKUP(Table1[[#This Row],[WO'#]],Table2[#All],2,FALSE)</f>
        <v>P&amp;M - 2nd Half 2019 (FY20)</v>
      </c>
      <c r="H462" s="20" t="s">
        <v>996</v>
      </c>
      <c r="I462" s="2">
        <v>43707</v>
      </c>
      <c r="J462" s="4">
        <f t="shared" si="59"/>
        <v>30</v>
      </c>
      <c r="K462" s="3">
        <v>0</v>
      </c>
      <c r="L462" s="3">
        <v>0.5</v>
      </c>
      <c r="M462" s="3">
        <v>0</v>
      </c>
      <c r="N462" s="3">
        <v>0</v>
      </c>
      <c r="O462" s="3">
        <v>0</v>
      </c>
      <c r="P462" s="3">
        <v>0</v>
      </c>
      <c r="Q462" s="3">
        <f t="shared" si="60"/>
        <v>0.5</v>
      </c>
      <c r="R462" s="1" t="s">
        <v>17</v>
      </c>
      <c r="S462" s="1" t="s">
        <v>23</v>
      </c>
      <c r="T462" s="3">
        <f t="shared" si="61"/>
        <v>0</v>
      </c>
      <c r="U462" s="44">
        <f>IF(Table1[[#This Row],[Initials]]="RM",$AE$10,IF(Table1[[#This Row],[Initials]]="JPH",$AE$11,IF(Table1[[#This Row],[Initials]]="IE",$AE$13,IF(Table1[[#This Row],[Initials]]="JM",$AE$14,1))))</f>
        <v>0.5</v>
      </c>
      <c r="V462" s="3">
        <f>Table1[[#This Row],[FTE %]]*Table1[[#This Row],[Time Worked]]</f>
        <v>0.25</v>
      </c>
      <c r="W46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62" s="38">
        <f t="shared" si="62"/>
        <v>30.965</v>
      </c>
      <c r="Y462" s="18">
        <f t="shared" si="63"/>
        <v>0</v>
      </c>
    </row>
    <row r="463" spans="1:25" x14ac:dyDescent="0.25">
      <c r="A463" s="10">
        <f t="shared" si="64"/>
        <v>462</v>
      </c>
      <c r="B463" s="6" t="str">
        <f t="shared" si="57"/>
        <v>9220192638JM</v>
      </c>
      <c r="C463" s="1" t="s">
        <v>967</v>
      </c>
      <c r="D463" s="1" t="s">
        <v>996</v>
      </c>
      <c r="E463" s="53" t="str">
        <f t="shared" si="58"/>
        <v>Unbilled</v>
      </c>
      <c r="F463" s="1">
        <v>2638</v>
      </c>
      <c r="G463" s="37" t="str">
        <f>VLOOKUP(Table1[[#This Row],[WO'#]],Table2[#All],2,FALSE)</f>
        <v>P&amp;M - 2nd Half 2019 (FY20)</v>
      </c>
      <c r="H463" s="20" t="s">
        <v>996</v>
      </c>
      <c r="I463" s="2">
        <v>43710</v>
      </c>
      <c r="J463" s="4">
        <f t="shared" si="59"/>
        <v>2</v>
      </c>
      <c r="K463" s="3">
        <v>2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f t="shared" si="60"/>
        <v>2</v>
      </c>
      <c r="R463" s="1" t="s">
        <v>972</v>
      </c>
      <c r="S463" s="1" t="s">
        <v>23</v>
      </c>
      <c r="T463" s="3">
        <f t="shared" si="61"/>
        <v>0</v>
      </c>
      <c r="U463" s="44">
        <f>IF(Table1[[#This Row],[Initials]]="RM",$AE$10,IF(Table1[[#This Row],[Initials]]="JPH",$AE$11,IF(Table1[[#This Row],[Initials]]="IE",$AE$13,IF(Table1[[#This Row],[Initials]]="JM",$AE$14,1))))</f>
        <v>0.39500000000000002</v>
      </c>
      <c r="V463" s="3">
        <f>Table1[[#This Row],[FTE %]]*Table1[[#This Row],[Time Worked]]</f>
        <v>0.79</v>
      </c>
      <c r="W46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63" s="38">
        <f t="shared" si="62"/>
        <v>123.86</v>
      </c>
      <c r="Y463" s="18">
        <f t="shared" si="63"/>
        <v>0</v>
      </c>
    </row>
    <row r="464" spans="1:25" x14ac:dyDescent="0.25">
      <c r="A464" s="10">
        <f t="shared" si="64"/>
        <v>463</v>
      </c>
      <c r="B464" s="6" t="str">
        <f t="shared" si="57"/>
        <v>9320192638IE</v>
      </c>
      <c r="C464" s="1" t="s">
        <v>967</v>
      </c>
      <c r="D464" s="1" t="s">
        <v>996</v>
      </c>
      <c r="E464" s="53" t="str">
        <f t="shared" si="58"/>
        <v>Unbilled</v>
      </c>
      <c r="F464" s="1">
        <v>2638</v>
      </c>
      <c r="G464" s="37" t="str">
        <f>VLOOKUP(Table1[[#This Row],[WO'#]],Table2[#All],2,FALSE)</f>
        <v>P&amp;M - 2nd Half 2019 (FY20)</v>
      </c>
      <c r="H464" s="20" t="s">
        <v>996</v>
      </c>
      <c r="I464" s="2">
        <v>43711</v>
      </c>
      <c r="J464" s="4">
        <f t="shared" si="59"/>
        <v>3</v>
      </c>
      <c r="K464" s="3">
        <v>0</v>
      </c>
      <c r="L464" s="3">
        <v>0.5</v>
      </c>
      <c r="M464" s="3">
        <v>0</v>
      </c>
      <c r="N464" s="3">
        <v>0</v>
      </c>
      <c r="O464" s="3">
        <v>0</v>
      </c>
      <c r="P464" s="3">
        <v>0</v>
      </c>
      <c r="Q464" s="3">
        <f t="shared" si="60"/>
        <v>0.5</v>
      </c>
      <c r="R464" s="1" t="s">
        <v>971</v>
      </c>
      <c r="S464" s="1" t="s">
        <v>23</v>
      </c>
      <c r="T464" s="3">
        <f t="shared" si="61"/>
        <v>0</v>
      </c>
      <c r="U464" s="44">
        <f>IF(Table1[[#This Row],[Initials]]="RM",$AE$10,IF(Table1[[#This Row],[Initials]]="JPH",$AE$11,IF(Table1[[#This Row],[Initials]]="IE",$AE$13,IF(Table1[[#This Row],[Initials]]="JM",$AE$14,1))))</f>
        <v>1</v>
      </c>
      <c r="V464" s="3">
        <f>Table1[[#This Row],[FTE %]]*Table1[[#This Row],[Time Worked]]</f>
        <v>0.5</v>
      </c>
      <c r="W46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64" s="38">
        <f t="shared" si="62"/>
        <v>30.965</v>
      </c>
      <c r="Y464" s="18">
        <f t="shared" si="63"/>
        <v>0</v>
      </c>
    </row>
    <row r="465" spans="1:25" x14ac:dyDescent="0.25">
      <c r="A465" s="10">
        <f t="shared" ref="A465:A491" si="65">IF(IFERROR(A464+1,1)=1,1,A464+1)</f>
        <v>464</v>
      </c>
      <c r="B465" s="6" t="str">
        <f t="shared" si="57"/>
        <v>9320192638JM</v>
      </c>
      <c r="C465" s="1" t="s">
        <v>967</v>
      </c>
      <c r="D465" s="1" t="s">
        <v>996</v>
      </c>
      <c r="E465" s="53" t="str">
        <f t="shared" si="58"/>
        <v>Unbilled</v>
      </c>
      <c r="F465" s="1">
        <v>2638</v>
      </c>
      <c r="G465" s="37" t="str">
        <f>VLOOKUP(Table1[[#This Row],[WO'#]],Table2[#All],2,FALSE)</f>
        <v>P&amp;M - 2nd Half 2019 (FY20)</v>
      </c>
      <c r="H465" s="20" t="s">
        <v>996</v>
      </c>
      <c r="I465" s="2">
        <v>43711</v>
      </c>
      <c r="J465" s="4">
        <f t="shared" si="59"/>
        <v>3</v>
      </c>
      <c r="K465" s="3">
        <v>0.75</v>
      </c>
      <c r="L465" s="3">
        <v>0</v>
      </c>
      <c r="M465" s="3">
        <v>0</v>
      </c>
      <c r="N465" s="3">
        <v>0</v>
      </c>
      <c r="O465" s="3">
        <v>0</v>
      </c>
      <c r="P465" s="3">
        <v>0</v>
      </c>
      <c r="Q465" s="3">
        <f t="shared" si="60"/>
        <v>0.75</v>
      </c>
      <c r="R465" s="1" t="s">
        <v>972</v>
      </c>
      <c r="S465" s="1" t="s">
        <v>23</v>
      </c>
      <c r="T465" s="3">
        <f t="shared" si="61"/>
        <v>0</v>
      </c>
      <c r="U465" s="44">
        <f>IF(Table1[[#This Row],[Initials]]="RM",$AE$10,IF(Table1[[#This Row],[Initials]]="JPH",$AE$11,IF(Table1[[#This Row],[Initials]]="IE",$AE$13,IF(Table1[[#This Row],[Initials]]="JM",$AE$14,1))))</f>
        <v>0.39500000000000002</v>
      </c>
      <c r="V465" s="3">
        <f>Table1[[#This Row],[FTE %]]*Table1[[#This Row],[Time Worked]]</f>
        <v>0.29625000000000001</v>
      </c>
      <c r="W46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465" s="38">
        <f t="shared" si="62"/>
        <v>46.447499999999998</v>
      </c>
      <c r="Y465" s="18">
        <f t="shared" si="63"/>
        <v>0</v>
      </c>
    </row>
    <row r="466" spans="1:25" x14ac:dyDescent="0.25">
      <c r="A466" s="10">
        <f t="shared" si="65"/>
        <v>465</v>
      </c>
      <c r="B466" s="6" t="str">
        <f t="shared" si="57"/>
        <v>9320192638RM</v>
      </c>
      <c r="C466" s="1" t="s">
        <v>967</v>
      </c>
      <c r="D466" s="1" t="s">
        <v>996</v>
      </c>
      <c r="E466" s="53" t="str">
        <f t="shared" si="58"/>
        <v>Unbilled</v>
      </c>
      <c r="F466" s="1">
        <v>2638</v>
      </c>
      <c r="G466" s="37" t="str">
        <f>VLOOKUP(Table1[[#This Row],[WO'#]],Table2[#All],2,FALSE)</f>
        <v>P&amp;M - 2nd Half 2019 (FY20)</v>
      </c>
      <c r="H466" s="20" t="s">
        <v>996</v>
      </c>
      <c r="I466" s="2">
        <v>43711</v>
      </c>
      <c r="J466" s="4">
        <f t="shared" si="59"/>
        <v>3</v>
      </c>
      <c r="K466" s="3">
        <v>0.5</v>
      </c>
      <c r="L466" s="3">
        <v>0</v>
      </c>
      <c r="M466" s="3">
        <v>0</v>
      </c>
      <c r="N466" s="3">
        <v>0</v>
      </c>
      <c r="O466" s="3">
        <v>0</v>
      </c>
      <c r="P466" s="3">
        <v>0</v>
      </c>
      <c r="Q466" s="3">
        <f t="shared" si="60"/>
        <v>0.5</v>
      </c>
      <c r="R466" s="1" t="s">
        <v>17</v>
      </c>
      <c r="S466" s="1" t="s">
        <v>23</v>
      </c>
      <c r="T466" s="3">
        <f t="shared" si="61"/>
        <v>0</v>
      </c>
      <c r="U466" s="44">
        <f>IF(Table1[[#This Row],[Initials]]="RM",$AE$10,IF(Table1[[#This Row],[Initials]]="JPH",$AE$11,IF(Table1[[#This Row],[Initials]]="IE",$AE$13,IF(Table1[[#This Row],[Initials]]="JM",$AE$14,1))))</f>
        <v>0.5</v>
      </c>
      <c r="V466" s="3">
        <f>Table1[[#This Row],[FTE %]]*Table1[[#This Row],[Time Worked]]</f>
        <v>0.25</v>
      </c>
      <c r="W46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66" s="38">
        <f t="shared" si="62"/>
        <v>30.965</v>
      </c>
      <c r="Y466" s="18">
        <f t="shared" si="63"/>
        <v>0</v>
      </c>
    </row>
    <row r="467" spans="1:25" x14ac:dyDescent="0.25">
      <c r="A467" s="10">
        <f t="shared" si="65"/>
        <v>466</v>
      </c>
      <c r="B467" s="6" t="str">
        <f t="shared" si="57"/>
        <v>9320192638RM</v>
      </c>
      <c r="C467" s="1" t="s">
        <v>967</v>
      </c>
      <c r="D467" s="1" t="s">
        <v>996</v>
      </c>
      <c r="E467" s="53" t="str">
        <f t="shared" si="58"/>
        <v>Unbilled</v>
      </c>
      <c r="F467" s="1">
        <v>2638</v>
      </c>
      <c r="G467" s="37" t="str">
        <f>VLOOKUP(Table1[[#This Row],[WO'#]],Table2[#All],2,FALSE)</f>
        <v>P&amp;M - 2nd Half 2019 (FY20)</v>
      </c>
      <c r="H467" s="20" t="s">
        <v>996</v>
      </c>
      <c r="I467" s="2">
        <v>43711</v>
      </c>
      <c r="J467" s="4">
        <f t="shared" si="59"/>
        <v>3</v>
      </c>
      <c r="K467" s="3">
        <v>0</v>
      </c>
      <c r="L467" s="3">
        <v>3</v>
      </c>
      <c r="M467" s="3">
        <v>0</v>
      </c>
      <c r="N467" s="3">
        <v>0</v>
      </c>
      <c r="O467" s="3">
        <v>0</v>
      </c>
      <c r="P467" s="3">
        <v>0</v>
      </c>
      <c r="Q467" s="3">
        <f t="shared" si="60"/>
        <v>3</v>
      </c>
      <c r="R467" s="1" t="s">
        <v>17</v>
      </c>
      <c r="S467" s="1" t="s">
        <v>23</v>
      </c>
      <c r="T467" s="3">
        <f t="shared" si="61"/>
        <v>0</v>
      </c>
      <c r="U467" s="44">
        <f>IF(Table1[[#This Row],[Initials]]="RM",$AE$10,IF(Table1[[#This Row],[Initials]]="JPH",$AE$11,IF(Table1[[#This Row],[Initials]]="IE",$AE$13,IF(Table1[[#This Row],[Initials]]="JM",$AE$14,1))))</f>
        <v>0.5</v>
      </c>
      <c r="V467" s="3">
        <f>Table1[[#This Row],[FTE %]]*Table1[[#This Row],[Time Worked]]</f>
        <v>1.5</v>
      </c>
      <c r="W46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67" s="38">
        <f t="shared" si="62"/>
        <v>185.79</v>
      </c>
      <c r="Y467" s="18">
        <f t="shared" si="63"/>
        <v>0</v>
      </c>
    </row>
    <row r="468" spans="1:25" x14ac:dyDescent="0.25">
      <c r="A468" s="10">
        <f t="shared" si="65"/>
        <v>467</v>
      </c>
      <c r="B468" s="6" t="str">
        <f t="shared" si="57"/>
        <v>9420192638JM</v>
      </c>
      <c r="C468" s="1" t="s">
        <v>967</v>
      </c>
      <c r="D468" s="1" t="s">
        <v>996</v>
      </c>
      <c r="E468" s="53" t="str">
        <f t="shared" si="58"/>
        <v>Unbilled</v>
      </c>
      <c r="F468" s="1">
        <v>2638</v>
      </c>
      <c r="G468" s="37" t="str">
        <f>VLOOKUP(Table1[[#This Row],[WO'#]],Table2[#All],2,FALSE)</f>
        <v>P&amp;M - 2nd Half 2019 (FY20)</v>
      </c>
      <c r="H468" s="20" t="s">
        <v>996</v>
      </c>
      <c r="I468" s="2">
        <v>43712</v>
      </c>
      <c r="J468" s="4">
        <f t="shared" si="59"/>
        <v>4</v>
      </c>
      <c r="K468" s="3">
        <v>0</v>
      </c>
      <c r="L468" s="3">
        <v>0</v>
      </c>
      <c r="M468" s="3">
        <v>0.25</v>
      </c>
      <c r="N468" s="3">
        <v>0</v>
      </c>
      <c r="O468" s="3">
        <v>0</v>
      </c>
      <c r="P468" s="3">
        <v>0</v>
      </c>
      <c r="Q468" s="3">
        <f t="shared" si="60"/>
        <v>0.25</v>
      </c>
      <c r="R468" s="1" t="s">
        <v>972</v>
      </c>
      <c r="S468" s="1" t="s">
        <v>23</v>
      </c>
      <c r="T468" s="3">
        <f t="shared" si="61"/>
        <v>0</v>
      </c>
      <c r="U468" s="44">
        <f>IF(Table1[[#This Row],[Initials]]="RM",$AE$10,IF(Table1[[#This Row],[Initials]]="JPH",$AE$11,IF(Table1[[#This Row],[Initials]]="IE",$AE$13,IF(Table1[[#This Row],[Initials]]="JM",$AE$14,1))))</f>
        <v>0.39500000000000002</v>
      </c>
      <c r="V468" s="3">
        <f>Table1[[#This Row],[FTE %]]*Table1[[#This Row],[Time Worked]]</f>
        <v>9.8750000000000004E-2</v>
      </c>
      <c r="W46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68" s="38">
        <f t="shared" si="62"/>
        <v>15.4825</v>
      </c>
      <c r="Y468" s="18">
        <f t="shared" si="63"/>
        <v>0</v>
      </c>
    </row>
    <row r="469" spans="1:25" x14ac:dyDescent="0.25">
      <c r="A469" s="10">
        <f t="shared" si="65"/>
        <v>468</v>
      </c>
      <c r="B469" s="6" t="str">
        <f t="shared" si="57"/>
        <v>9420192638JM</v>
      </c>
      <c r="C469" s="1" t="s">
        <v>967</v>
      </c>
      <c r="D469" s="1" t="s">
        <v>996</v>
      </c>
      <c r="E469" s="53" t="str">
        <f t="shared" si="58"/>
        <v>Unbilled</v>
      </c>
      <c r="F469" s="1">
        <v>2638</v>
      </c>
      <c r="G469" s="37" t="str">
        <f>VLOOKUP(Table1[[#This Row],[WO'#]],Table2[#All],2,FALSE)</f>
        <v>P&amp;M - 2nd Half 2019 (FY20)</v>
      </c>
      <c r="H469" s="20" t="s">
        <v>996</v>
      </c>
      <c r="I469" s="2">
        <v>43712</v>
      </c>
      <c r="J469" s="4">
        <f t="shared" si="59"/>
        <v>4</v>
      </c>
      <c r="K469" s="3">
        <v>0</v>
      </c>
      <c r="L469" s="3">
        <v>0.5</v>
      </c>
      <c r="M469" s="3">
        <v>0</v>
      </c>
      <c r="N469" s="3">
        <v>0</v>
      </c>
      <c r="O469" s="3">
        <v>0</v>
      </c>
      <c r="P469" s="3">
        <v>0</v>
      </c>
      <c r="Q469" s="3">
        <f t="shared" si="60"/>
        <v>0.5</v>
      </c>
      <c r="R469" s="1" t="s">
        <v>972</v>
      </c>
      <c r="S469" s="1" t="s">
        <v>23</v>
      </c>
      <c r="T469" s="3">
        <f t="shared" si="61"/>
        <v>0</v>
      </c>
      <c r="U469" s="44">
        <f>IF(Table1[[#This Row],[Initials]]="RM",$AE$10,IF(Table1[[#This Row],[Initials]]="JPH",$AE$11,IF(Table1[[#This Row],[Initials]]="IE",$AE$13,IF(Table1[[#This Row],[Initials]]="JM",$AE$14,1))))</f>
        <v>0.39500000000000002</v>
      </c>
      <c r="V469" s="3">
        <f>Table1[[#This Row],[FTE %]]*Table1[[#This Row],[Time Worked]]</f>
        <v>0.19750000000000001</v>
      </c>
      <c r="W46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69" s="38">
        <f t="shared" si="62"/>
        <v>30.965</v>
      </c>
      <c r="Y469" s="18">
        <f t="shared" si="63"/>
        <v>0</v>
      </c>
    </row>
    <row r="470" spans="1:25" x14ac:dyDescent="0.25">
      <c r="A470" s="10">
        <f t="shared" si="65"/>
        <v>469</v>
      </c>
      <c r="B470" s="6" t="str">
        <f t="shared" si="57"/>
        <v>9420192638JM</v>
      </c>
      <c r="C470" s="1" t="s">
        <v>967</v>
      </c>
      <c r="D470" s="1" t="s">
        <v>996</v>
      </c>
      <c r="E470" s="53" t="str">
        <f t="shared" si="58"/>
        <v>Unbilled</v>
      </c>
      <c r="F470" s="1">
        <v>2638</v>
      </c>
      <c r="G470" s="37" t="str">
        <f>VLOOKUP(Table1[[#This Row],[WO'#]],Table2[#All],2,FALSE)</f>
        <v>P&amp;M - 2nd Half 2019 (FY20)</v>
      </c>
      <c r="H470" s="20" t="s">
        <v>996</v>
      </c>
      <c r="I470" s="2">
        <v>43712</v>
      </c>
      <c r="J470" s="4">
        <f t="shared" si="59"/>
        <v>4</v>
      </c>
      <c r="K470" s="3">
        <v>0.75</v>
      </c>
      <c r="L470" s="3">
        <v>0</v>
      </c>
      <c r="M470" s="3">
        <v>0</v>
      </c>
      <c r="N470" s="3">
        <v>0</v>
      </c>
      <c r="O470" s="3">
        <v>0</v>
      </c>
      <c r="P470" s="3">
        <v>0</v>
      </c>
      <c r="Q470" s="3">
        <f t="shared" si="60"/>
        <v>0.75</v>
      </c>
      <c r="R470" s="1" t="s">
        <v>972</v>
      </c>
      <c r="S470" s="1" t="s">
        <v>23</v>
      </c>
      <c r="T470" s="3">
        <f t="shared" si="61"/>
        <v>0</v>
      </c>
      <c r="U470" s="44">
        <f>IF(Table1[[#This Row],[Initials]]="RM",$AE$10,IF(Table1[[#This Row],[Initials]]="JPH",$AE$11,IF(Table1[[#This Row],[Initials]]="IE",$AE$13,IF(Table1[[#This Row],[Initials]]="JM",$AE$14,1))))</f>
        <v>0.39500000000000002</v>
      </c>
      <c r="V470" s="3">
        <f>Table1[[#This Row],[FTE %]]*Table1[[#This Row],[Time Worked]]</f>
        <v>0.29625000000000001</v>
      </c>
      <c r="W47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470" s="38">
        <f t="shared" si="62"/>
        <v>46.447499999999998</v>
      </c>
      <c r="Y470" s="18">
        <f t="shared" si="63"/>
        <v>0</v>
      </c>
    </row>
    <row r="471" spans="1:25" x14ac:dyDescent="0.25">
      <c r="A471" s="10">
        <f t="shared" si="65"/>
        <v>470</v>
      </c>
      <c r="B471" s="6" t="str">
        <f t="shared" si="57"/>
        <v>9420192638RM</v>
      </c>
      <c r="C471" s="1" t="s">
        <v>967</v>
      </c>
      <c r="D471" s="1" t="s">
        <v>996</v>
      </c>
      <c r="E471" s="53" t="str">
        <f t="shared" si="58"/>
        <v>Unbilled</v>
      </c>
      <c r="F471" s="1">
        <v>2638</v>
      </c>
      <c r="G471" s="37" t="str">
        <f>VLOOKUP(Table1[[#This Row],[WO'#]],Table2[#All],2,FALSE)</f>
        <v>P&amp;M - 2nd Half 2019 (FY20)</v>
      </c>
      <c r="H471" s="20" t="s">
        <v>996</v>
      </c>
      <c r="I471" s="2">
        <v>43712</v>
      </c>
      <c r="J471" s="4">
        <f t="shared" si="59"/>
        <v>4</v>
      </c>
      <c r="K471" s="3">
        <v>0.5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  <c r="Q471" s="3">
        <f t="shared" si="60"/>
        <v>0.5</v>
      </c>
      <c r="R471" s="1" t="s">
        <v>17</v>
      </c>
      <c r="S471" s="1" t="s">
        <v>23</v>
      </c>
      <c r="T471" s="3">
        <f t="shared" si="61"/>
        <v>0</v>
      </c>
      <c r="U471" s="44">
        <f>IF(Table1[[#This Row],[Initials]]="RM",$AE$10,IF(Table1[[#This Row],[Initials]]="JPH",$AE$11,IF(Table1[[#This Row],[Initials]]="IE",$AE$13,IF(Table1[[#This Row],[Initials]]="JM",$AE$14,1))))</f>
        <v>0.5</v>
      </c>
      <c r="V471" s="3">
        <f>Table1[[#This Row],[FTE %]]*Table1[[#This Row],[Time Worked]]</f>
        <v>0.25</v>
      </c>
      <c r="W47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71" s="38">
        <f t="shared" si="62"/>
        <v>30.965</v>
      </c>
      <c r="Y471" s="18">
        <f t="shared" si="63"/>
        <v>0</v>
      </c>
    </row>
    <row r="472" spans="1:25" x14ac:dyDescent="0.25">
      <c r="A472" s="10">
        <f t="shared" si="65"/>
        <v>471</v>
      </c>
      <c r="B472" s="6" t="str">
        <f t="shared" si="57"/>
        <v>9420192638RM</v>
      </c>
      <c r="C472" s="1" t="s">
        <v>967</v>
      </c>
      <c r="D472" s="1" t="s">
        <v>996</v>
      </c>
      <c r="E472" s="53" t="str">
        <f t="shared" si="58"/>
        <v>Unbilled</v>
      </c>
      <c r="F472" s="1">
        <v>2638</v>
      </c>
      <c r="G472" s="37" t="str">
        <f>VLOOKUP(Table1[[#This Row],[WO'#]],Table2[#All],2,FALSE)</f>
        <v>P&amp;M - 2nd Half 2019 (FY20)</v>
      </c>
      <c r="H472" s="20" t="s">
        <v>996</v>
      </c>
      <c r="I472" s="2">
        <v>43712</v>
      </c>
      <c r="J472" s="4">
        <f t="shared" si="59"/>
        <v>4</v>
      </c>
      <c r="K472" s="3">
        <v>0</v>
      </c>
      <c r="L472" s="3">
        <v>3</v>
      </c>
      <c r="M472" s="3">
        <v>0</v>
      </c>
      <c r="N472" s="3">
        <v>0</v>
      </c>
      <c r="O472" s="3">
        <v>0</v>
      </c>
      <c r="P472" s="3">
        <v>0</v>
      </c>
      <c r="Q472" s="3">
        <f t="shared" si="60"/>
        <v>3</v>
      </c>
      <c r="R472" s="1" t="s">
        <v>17</v>
      </c>
      <c r="S472" s="1" t="s">
        <v>23</v>
      </c>
      <c r="T472" s="3">
        <f t="shared" si="61"/>
        <v>0</v>
      </c>
      <c r="U472" s="44">
        <f>IF(Table1[[#This Row],[Initials]]="RM",$AE$10,IF(Table1[[#This Row],[Initials]]="JPH",$AE$11,IF(Table1[[#This Row],[Initials]]="IE",$AE$13,IF(Table1[[#This Row],[Initials]]="JM",$AE$14,1))))</f>
        <v>0.5</v>
      </c>
      <c r="V472" s="3">
        <f>Table1[[#This Row],[FTE %]]*Table1[[#This Row],[Time Worked]]</f>
        <v>1.5</v>
      </c>
      <c r="W47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472" s="38">
        <f t="shared" si="62"/>
        <v>185.79</v>
      </c>
      <c r="Y472" s="18">
        <f t="shared" si="63"/>
        <v>0</v>
      </c>
    </row>
    <row r="473" spans="1:25" x14ac:dyDescent="0.25">
      <c r="A473" s="10">
        <f t="shared" si="65"/>
        <v>472</v>
      </c>
      <c r="B473" s="6" t="str">
        <f t="shared" si="57"/>
        <v>9520192638JM</v>
      </c>
      <c r="C473" s="1" t="s">
        <v>967</v>
      </c>
      <c r="D473" s="1" t="s">
        <v>996</v>
      </c>
      <c r="E473" s="53" t="str">
        <f t="shared" si="58"/>
        <v>Unbilled</v>
      </c>
      <c r="F473" s="1">
        <v>2638</v>
      </c>
      <c r="G473" s="37" t="str">
        <f>VLOOKUP(Table1[[#This Row],[WO'#]],Table2[#All],2,FALSE)</f>
        <v>P&amp;M - 2nd Half 2019 (FY20)</v>
      </c>
      <c r="H473" s="20" t="s">
        <v>996</v>
      </c>
      <c r="I473" s="2">
        <v>43713</v>
      </c>
      <c r="J473" s="4">
        <f t="shared" si="59"/>
        <v>5</v>
      </c>
      <c r="K473" s="3">
        <v>1.75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  <c r="Q473" s="3">
        <f t="shared" si="60"/>
        <v>1.75</v>
      </c>
      <c r="R473" s="1" t="s">
        <v>972</v>
      </c>
      <c r="S473" s="1" t="s">
        <v>23</v>
      </c>
      <c r="T473" s="3">
        <f t="shared" si="61"/>
        <v>0</v>
      </c>
      <c r="U473" s="44">
        <f>IF(Table1[[#This Row],[Initials]]="RM",$AE$10,IF(Table1[[#This Row],[Initials]]="JPH",$AE$11,IF(Table1[[#This Row],[Initials]]="IE",$AE$13,IF(Table1[[#This Row],[Initials]]="JM",$AE$14,1))))</f>
        <v>0.39500000000000002</v>
      </c>
      <c r="V473" s="3">
        <f>Table1[[#This Row],[FTE %]]*Table1[[#This Row],[Time Worked]]</f>
        <v>0.69125000000000003</v>
      </c>
      <c r="W47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473" s="38">
        <f t="shared" si="62"/>
        <v>108.3775</v>
      </c>
      <c r="Y473" s="18">
        <f t="shared" si="63"/>
        <v>0</v>
      </c>
    </row>
    <row r="474" spans="1:25" x14ac:dyDescent="0.25">
      <c r="A474" s="10">
        <f t="shared" si="65"/>
        <v>473</v>
      </c>
      <c r="B474" s="6" t="str">
        <f t="shared" si="57"/>
        <v>9520192638JPH</v>
      </c>
      <c r="C474" s="1" t="s">
        <v>967</v>
      </c>
      <c r="D474" s="1" t="s">
        <v>996</v>
      </c>
      <c r="E474" s="53" t="str">
        <f t="shared" si="58"/>
        <v>Unbilled</v>
      </c>
      <c r="F474" s="1">
        <v>2638</v>
      </c>
      <c r="G474" s="37" t="str">
        <f>VLOOKUP(Table1[[#This Row],[WO'#]],Table2[#All],2,FALSE)</f>
        <v>P&amp;M - 2nd Half 2019 (FY20)</v>
      </c>
      <c r="H474" s="20" t="s">
        <v>996</v>
      </c>
      <c r="I474" s="2">
        <v>43713</v>
      </c>
      <c r="J474" s="4">
        <f t="shared" si="59"/>
        <v>5</v>
      </c>
      <c r="K474" s="3">
        <v>0</v>
      </c>
      <c r="L474" s="3">
        <v>2</v>
      </c>
      <c r="M474" s="3">
        <v>0</v>
      </c>
      <c r="N474" s="3">
        <v>0</v>
      </c>
      <c r="O474" s="3">
        <v>0</v>
      </c>
      <c r="P474" s="3">
        <v>0</v>
      </c>
      <c r="Q474" s="3">
        <f t="shared" si="60"/>
        <v>2</v>
      </c>
      <c r="R474" s="1" t="s">
        <v>970</v>
      </c>
      <c r="S474" s="1" t="s">
        <v>23</v>
      </c>
      <c r="T474" s="3">
        <f t="shared" si="61"/>
        <v>0</v>
      </c>
      <c r="U474" s="44">
        <f>IF(Table1[[#This Row],[Initials]]="RM",$AE$10,IF(Table1[[#This Row],[Initials]]="JPH",$AE$11,IF(Table1[[#This Row],[Initials]]="IE",$AE$13,IF(Table1[[#This Row],[Initials]]="JM",$AE$14,1))))</f>
        <v>0.53</v>
      </c>
      <c r="V474" s="3">
        <f>Table1[[#This Row],[FTE %]]*Table1[[#This Row],[Time Worked]]</f>
        <v>1.06</v>
      </c>
      <c r="W47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74" s="38">
        <f t="shared" si="62"/>
        <v>123.86</v>
      </c>
      <c r="Y474" s="18">
        <f t="shared" si="63"/>
        <v>0</v>
      </c>
    </row>
    <row r="475" spans="1:25" x14ac:dyDescent="0.25">
      <c r="A475" s="10">
        <f t="shared" si="65"/>
        <v>474</v>
      </c>
      <c r="B475" s="6" t="str">
        <f t="shared" si="57"/>
        <v>9520192638RM</v>
      </c>
      <c r="C475" s="1" t="s">
        <v>967</v>
      </c>
      <c r="D475" s="1" t="s">
        <v>996</v>
      </c>
      <c r="E475" s="53" t="str">
        <f t="shared" si="58"/>
        <v>Unbilled</v>
      </c>
      <c r="F475" s="1">
        <v>2638</v>
      </c>
      <c r="G475" s="37" t="str">
        <f>VLOOKUP(Table1[[#This Row],[WO'#]],Table2[#All],2,FALSE)</f>
        <v>P&amp;M - 2nd Half 2019 (FY20)</v>
      </c>
      <c r="H475" s="20" t="s">
        <v>996</v>
      </c>
      <c r="I475" s="2">
        <v>43713</v>
      </c>
      <c r="J475" s="4">
        <f t="shared" si="59"/>
        <v>5</v>
      </c>
      <c r="K475" s="3">
        <v>0.5</v>
      </c>
      <c r="L475" s="3">
        <v>0</v>
      </c>
      <c r="M475" s="3">
        <v>0</v>
      </c>
      <c r="N475" s="3">
        <v>0</v>
      </c>
      <c r="O475" s="3">
        <v>0</v>
      </c>
      <c r="P475" s="3">
        <v>0</v>
      </c>
      <c r="Q475" s="3">
        <f t="shared" si="60"/>
        <v>0.5</v>
      </c>
      <c r="R475" s="1" t="s">
        <v>17</v>
      </c>
      <c r="S475" s="1" t="s">
        <v>23</v>
      </c>
      <c r="T475" s="3">
        <f t="shared" si="61"/>
        <v>0</v>
      </c>
      <c r="U475" s="44">
        <f>IF(Table1[[#This Row],[Initials]]="RM",$AE$10,IF(Table1[[#This Row],[Initials]]="JPH",$AE$11,IF(Table1[[#This Row],[Initials]]="IE",$AE$13,IF(Table1[[#This Row],[Initials]]="JM",$AE$14,1))))</f>
        <v>0.5</v>
      </c>
      <c r="V475" s="3">
        <f>Table1[[#This Row],[FTE %]]*Table1[[#This Row],[Time Worked]]</f>
        <v>0.25</v>
      </c>
      <c r="W47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75" s="38">
        <f t="shared" si="62"/>
        <v>30.965</v>
      </c>
      <c r="Y475" s="18">
        <f t="shared" si="63"/>
        <v>0</v>
      </c>
    </row>
    <row r="476" spans="1:25" x14ac:dyDescent="0.25">
      <c r="A476" s="10">
        <f t="shared" si="65"/>
        <v>475</v>
      </c>
      <c r="B476" s="6" t="str">
        <f t="shared" si="57"/>
        <v>7120192639RM</v>
      </c>
      <c r="C476" s="1" t="s">
        <v>967</v>
      </c>
      <c r="D476" s="1" t="s">
        <v>996</v>
      </c>
      <c r="E476" s="1" t="str">
        <f t="shared" si="58"/>
        <v>Unbilled</v>
      </c>
      <c r="F476" s="1">
        <v>2639</v>
      </c>
      <c r="G476" s="37" t="str">
        <f>VLOOKUP(Table1[[#This Row],[WO'#]],Table2[#All],2,FALSE)</f>
        <v>Web Maint. 2nd Half 2019 (FY20)</v>
      </c>
      <c r="H476" s="20" t="s">
        <v>996</v>
      </c>
      <c r="I476" s="2">
        <v>43647</v>
      </c>
      <c r="J476" s="4">
        <f t="shared" si="59"/>
        <v>1</v>
      </c>
      <c r="K476" s="3">
        <v>0</v>
      </c>
      <c r="L476" s="3">
        <v>0</v>
      </c>
      <c r="M476" s="3">
        <v>0.5</v>
      </c>
      <c r="N476" s="3">
        <v>0</v>
      </c>
      <c r="O476" s="3">
        <v>0</v>
      </c>
      <c r="P476" s="3">
        <v>0</v>
      </c>
      <c r="Q476" s="3">
        <f t="shared" si="60"/>
        <v>0.5</v>
      </c>
      <c r="R476" s="1" t="s">
        <v>17</v>
      </c>
      <c r="S476" s="1" t="s">
        <v>23</v>
      </c>
      <c r="T476" s="3">
        <f t="shared" si="61"/>
        <v>0</v>
      </c>
      <c r="U476" s="44">
        <f>IF(Table1[[#This Row],[Initials]]="RM",$AE$10,IF(Table1[[#This Row],[Initials]]="JPH",$AE$11,IF(Table1[[#This Row],[Initials]]="IE",$AE$13,IF(Table1[[#This Row],[Initials]]="JM",$AE$14,1))))</f>
        <v>0.5</v>
      </c>
      <c r="V476" s="3">
        <f>Table1[[#This Row],[FTE %]]*Table1[[#This Row],[Time Worked]]</f>
        <v>0.25</v>
      </c>
      <c r="W47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76" s="38">
        <f t="shared" si="62"/>
        <v>30.965</v>
      </c>
      <c r="Y476" s="18">
        <f t="shared" si="63"/>
        <v>0</v>
      </c>
    </row>
    <row r="477" spans="1:25" x14ac:dyDescent="0.25">
      <c r="A477" s="10">
        <f t="shared" si="65"/>
        <v>476</v>
      </c>
      <c r="B477" s="6" t="str">
        <f t="shared" si="57"/>
        <v>7220192639JM</v>
      </c>
      <c r="C477" s="1" t="s">
        <v>967</v>
      </c>
      <c r="D477" s="1" t="s">
        <v>996</v>
      </c>
      <c r="E477" s="1" t="str">
        <f t="shared" si="58"/>
        <v>Unbilled</v>
      </c>
      <c r="F477" s="1">
        <v>2639</v>
      </c>
      <c r="G477" s="37" t="str">
        <f>VLOOKUP(Table1[[#This Row],[WO'#]],Table2[#All],2,FALSE)</f>
        <v>Web Maint. 2nd Half 2019 (FY20)</v>
      </c>
      <c r="H477" s="20" t="s">
        <v>996</v>
      </c>
      <c r="I477" s="2">
        <v>43648</v>
      </c>
      <c r="J477" s="4">
        <f t="shared" si="59"/>
        <v>2</v>
      </c>
      <c r="K477" s="3">
        <v>0</v>
      </c>
      <c r="L477" s="3">
        <v>0</v>
      </c>
      <c r="M477" s="3">
        <v>2</v>
      </c>
      <c r="N477" s="3">
        <v>0</v>
      </c>
      <c r="O477" s="3">
        <v>0</v>
      </c>
      <c r="P477" s="3">
        <v>0</v>
      </c>
      <c r="Q477" s="3">
        <f t="shared" si="60"/>
        <v>2</v>
      </c>
      <c r="R477" s="1" t="s">
        <v>972</v>
      </c>
      <c r="S477" s="1" t="s">
        <v>23</v>
      </c>
      <c r="T477" s="3">
        <f t="shared" si="61"/>
        <v>0</v>
      </c>
      <c r="U477" s="44">
        <f>IF(Table1[[#This Row],[Initials]]="RM",$AE$10,IF(Table1[[#This Row],[Initials]]="JPH",$AE$11,IF(Table1[[#This Row],[Initials]]="IE",$AE$13,IF(Table1[[#This Row],[Initials]]="JM",$AE$14,1))))</f>
        <v>0.39500000000000002</v>
      </c>
      <c r="V477" s="3">
        <f>Table1[[#This Row],[FTE %]]*Table1[[#This Row],[Time Worked]]</f>
        <v>0.79</v>
      </c>
      <c r="W47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77" s="38">
        <f t="shared" si="62"/>
        <v>123.86</v>
      </c>
      <c r="Y477" s="18">
        <f t="shared" si="63"/>
        <v>0</v>
      </c>
    </row>
    <row r="478" spans="1:25" x14ac:dyDescent="0.25">
      <c r="A478" s="10">
        <f t="shared" si="65"/>
        <v>477</v>
      </c>
      <c r="B478" s="6" t="str">
        <f t="shared" si="57"/>
        <v>7320192639JM</v>
      </c>
      <c r="C478" s="1" t="s">
        <v>967</v>
      </c>
      <c r="D478" s="1" t="s">
        <v>996</v>
      </c>
      <c r="E478" s="1" t="str">
        <f t="shared" si="58"/>
        <v>Unbilled</v>
      </c>
      <c r="F478" s="1">
        <v>2639</v>
      </c>
      <c r="G478" s="37" t="str">
        <f>VLOOKUP(Table1[[#This Row],[WO'#]],Table2[#All],2,FALSE)</f>
        <v>Web Maint. 2nd Half 2019 (FY20)</v>
      </c>
      <c r="H478" s="20" t="s">
        <v>996</v>
      </c>
      <c r="I478" s="2">
        <v>43649</v>
      </c>
      <c r="J478" s="4">
        <f t="shared" si="59"/>
        <v>3</v>
      </c>
      <c r="K478" s="3">
        <v>0</v>
      </c>
      <c r="L478" s="3">
        <v>0</v>
      </c>
      <c r="M478" s="3">
        <v>4</v>
      </c>
      <c r="N478" s="3">
        <v>0</v>
      </c>
      <c r="O478" s="3">
        <v>0</v>
      </c>
      <c r="P478" s="3">
        <v>0</v>
      </c>
      <c r="Q478" s="3">
        <f t="shared" si="60"/>
        <v>4</v>
      </c>
      <c r="R478" s="1" t="s">
        <v>972</v>
      </c>
      <c r="S478" s="1" t="s">
        <v>23</v>
      </c>
      <c r="T478" s="3">
        <f t="shared" si="61"/>
        <v>0</v>
      </c>
      <c r="U478" s="44">
        <f>IF(Table1[[#This Row],[Initials]]="RM",$AE$10,IF(Table1[[#This Row],[Initials]]="JPH",$AE$11,IF(Table1[[#This Row],[Initials]]="IE",$AE$13,IF(Table1[[#This Row],[Initials]]="JM",$AE$14,1))))</f>
        <v>0.39500000000000002</v>
      </c>
      <c r="V478" s="3">
        <f>Table1[[#This Row],[FTE %]]*Table1[[#This Row],[Time Worked]]</f>
        <v>1.58</v>
      </c>
      <c r="W47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478" s="38">
        <f t="shared" si="62"/>
        <v>247.72</v>
      </c>
      <c r="Y478" s="18">
        <f t="shared" si="63"/>
        <v>0</v>
      </c>
    </row>
    <row r="479" spans="1:25" x14ac:dyDescent="0.25">
      <c r="A479" s="10">
        <f t="shared" si="65"/>
        <v>478</v>
      </c>
      <c r="B479" s="6" t="str">
        <f t="shared" si="57"/>
        <v>7820192639RM</v>
      </c>
      <c r="C479" s="1" t="s">
        <v>967</v>
      </c>
      <c r="D479" s="1" t="s">
        <v>996</v>
      </c>
      <c r="E479" s="1" t="str">
        <f t="shared" si="58"/>
        <v>Unbilled</v>
      </c>
      <c r="F479" s="1">
        <v>2639</v>
      </c>
      <c r="G479" s="37" t="str">
        <f>VLOOKUP(Table1[[#This Row],[WO'#]],Table2[#All],2,FALSE)</f>
        <v>Web Maint. 2nd Half 2019 (FY20)</v>
      </c>
      <c r="H479" s="20" t="s">
        <v>996</v>
      </c>
      <c r="I479" s="2">
        <v>43654</v>
      </c>
      <c r="J479" s="4">
        <f t="shared" si="59"/>
        <v>8</v>
      </c>
      <c r="K479" s="3">
        <v>0</v>
      </c>
      <c r="L479" s="3">
        <v>0</v>
      </c>
      <c r="M479" s="3">
        <v>0.5</v>
      </c>
      <c r="N479" s="3">
        <v>0</v>
      </c>
      <c r="O479" s="3">
        <v>0</v>
      </c>
      <c r="P479" s="3">
        <v>0</v>
      </c>
      <c r="Q479" s="3">
        <f t="shared" si="60"/>
        <v>0.5</v>
      </c>
      <c r="R479" s="1" t="s">
        <v>17</v>
      </c>
      <c r="S479" s="1" t="s">
        <v>23</v>
      </c>
      <c r="T479" s="3">
        <f t="shared" si="61"/>
        <v>0</v>
      </c>
      <c r="U479" s="44">
        <f>IF(Table1[[#This Row],[Initials]]="RM",$AE$10,IF(Table1[[#This Row],[Initials]]="JPH",$AE$11,IF(Table1[[#This Row],[Initials]]="IE",$AE$13,IF(Table1[[#This Row],[Initials]]="JM",$AE$14,1))))</f>
        <v>0.5</v>
      </c>
      <c r="V479" s="3">
        <f>Table1[[#This Row],[FTE %]]*Table1[[#This Row],[Time Worked]]</f>
        <v>0.25</v>
      </c>
      <c r="W47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79" s="38">
        <f t="shared" si="62"/>
        <v>30.965</v>
      </c>
      <c r="Y479" s="18">
        <f t="shared" si="63"/>
        <v>0</v>
      </c>
    </row>
    <row r="480" spans="1:25" x14ac:dyDescent="0.25">
      <c r="A480" s="10">
        <f t="shared" si="65"/>
        <v>479</v>
      </c>
      <c r="B480" s="6" t="str">
        <f t="shared" si="57"/>
        <v>7920192639JM</v>
      </c>
      <c r="C480" s="1" t="s">
        <v>967</v>
      </c>
      <c r="D480" s="1" t="s">
        <v>996</v>
      </c>
      <c r="E480" s="1" t="str">
        <f t="shared" si="58"/>
        <v>Unbilled</v>
      </c>
      <c r="F480" s="1">
        <v>2639</v>
      </c>
      <c r="G480" s="37" t="str">
        <f>VLOOKUP(Table1[[#This Row],[WO'#]],Table2[#All],2,FALSE)</f>
        <v>Web Maint. 2nd Half 2019 (FY20)</v>
      </c>
      <c r="H480" s="20" t="s">
        <v>996</v>
      </c>
      <c r="I480" s="2">
        <v>43655</v>
      </c>
      <c r="J480" s="4">
        <f t="shared" si="59"/>
        <v>9</v>
      </c>
      <c r="K480" s="3">
        <v>0</v>
      </c>
      <c r="L480" s="3">
        <v>0</v>
      </c>
      <c r="M480" s="3">
        <v>0.5</v>
      </c>
      <c r="N480" s="3">
        <v>0</v>
      </c>
      <c r="O480" s="3">
        <v>0</v>
      </c>
      <c r="P480" s="3">
        <v>0</v>
      </c>
      <c r="Q480" s="3">
        <f t="shared" si="60"/>
        <v>0.5</v>
      </c>
      <c r="R480" s="1" t="s">
        <v>972</v>
      </c>
      <c r="S480" s="1" t="s">
        <v>23</v>
      </c>
      <c r="T480" s="3">
        <f t="shared" si="61"/>
        <v>0</v>
      </c>
      <c r="U480" s="44">
        <f>IF(Table1[[#This Row],[Initials]]="RM",$AE$10,IF(Table1[[#This Row],[Initials]]="JPH",$AE$11,IF(Table1[[#This Row],[Initials]]="IE",$AE$13,IF(Table1[[#This Row],[Initials]]="JM",$AE$14,1))))</f>
        <v>0.39500000000000002</v>
      </c>
      <c r="V480" s="3">
        <f>Table1[[#This Row],[FTE %]]*Table1[[#This Row],[Time Worked]]</f>
        <v>0.19750000000000001</v>
      </c>
      <c r="W48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80" s="38">
        <f t="shared" si="62"/>
        <v>30.965</v>
      </c>
      <c r="Y480" s="18">
        <f t="shared" si="63"/>
        <v>0</v>
      </c>
    </row>
    <row r="481" spans="1:25" x14ac:dyDescent="0.25">
      <c r="A481" s="10">
        <f t="shared" si="65"/>
        <v>480</v>
      </c>
      <c r="B481" s="6" t="str">
        <f t="shared" si="57"/>
        <v>7920192639RM</v>
      </c>
      <c r="C481" s="1" t="s">
        <v>967</v>
      </c>
      <c r="D481" s="1" t="s">
        <v>996</v>
      </c>
      <c r="E481" s="1" t="str">
        <f t="shared" si="58"/>
        <v>Unbilled</v>
      </c>
      <c r="F481" s="1">
        <v>2639</v>
      </c>
      <c r="G481" s="37" t="str">
        <f>VLOOKUP(Table1[[#This Row],[WO'#]],Table2[#All],2,FALSE)</f>
        <v>Web Maint. 2nd Half 2019 (FY20)</v>
      </c>
      <c r="H481" s="20" t="s">
        <v>996</v>
      </c>
      <c r="I481" s="2">
        <v>43655</v>
      </c>
      <c r="J481" s="4">
        <f t="shared" si="59"/>
        <v>9</v>
      </c>
      <c r="K481" s="3">
        <v>0</v>
      </c>
      <c r="L481" s="3">
        <v>0</v>
      </c>
      <c r="M481" s="3">
        <v>0.5</v>
      </c>
      <c r="N481" s="3">
        <v>0</v>
      </c>
      <c r="O481" s="3">
        <v>0</v>
      </c>
      <c r="P481" s="3">
        <v>0</v>
      </c>
      <c r="Q481" s="3">
        <f t="shared" si="60"/>
        <v>0.5</v>
      </c>
      <c r="R481" s="1" t="s">
        <v>17</v>
      </c>
      <c r="S481" s="1" t="s">
        <v>23</v>
      </c>
      <c r="T481" s="3">
        <f t="shared" si="61"/>
        <v>0</v>
      </c>
      <c r="U481" s="44">
        <f>IF(Table1[[#This Row],[Initials]]="RM",$AE$10,IF(Table1[[#This Row],[Initials]]="JPH",$AE$11,IF(Table1[[#This Row],[Initials]]="IE",$AE$13,IF(Table1[[#This Row],[Initials]]="JM",$AE$14,1))))</f>
        <v>0.5</v>
      </c>
      <c r="V481" s="3">
        <f>Table1[[#This Row],[FTE %]]*Table1[[#This Row],[Time Worked]]</f>
        <v>0.25</v>
      </c>
      <c r="W48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81" s="38">
        <f t="shared" si="62"/>
        <v>30.965</v>
      </c>
      <c r="Y481" s="18">
        <f t="shared" si="63"/>
        <v>0</v>
      </c>
    </row>
    <row r="482" spans="1:25" x14ac:dyDescent="0.25">
      <c r="A482" s="10">
        <f t="shared" si="65"/>
        <v>481</v>
      </c>
      <c r="B482" s="6" t="str">
        <f t="shared" si="57"/>
        <v>71120192639JM</v>
      </c>
      <c r="C482" s="1" t="s">
        <v>967</v>
      </c>
      <c r="D482" s="1" t="s">
        <v>996</v>
      </c>
      <c r="E482" s="1" t="str">
        <f t="shared" si="58"/>
        <v>Unbilled</v>
      </c>
      <c r="F482" s="1">
        <v>2639</v>
      </c>
      <c r="G482" s="37" t="str">
        <f>VLOOKUP(Table1[[#This Row],[WO'#]],Table2[#All],2,FALSE)</f>
        <v>Web Maint. 2nd Half 2019 (FY20)</v>
      </c>
      <c r="H482" s="20" t="s">
        <v>996</v>
      </c>
      <c r="I482" s="2">
        <v>43657</v>
      </c>
      <c r="J482" s="4">
        <f t="shared" si="59"/>
        <v>11</v>
      </c>
      <c r="K482" s="3">
        <v>0</v>
      </c>
      <c r="L482" s="3">
        <v>0</v>
      </c>
      <c r="M482" s="3">
        <v>1.75</v>
      </c>
      <c r="N482" s="3">
        <v>0</v>
      </c>
      <c r="O482" s="3">
        <v>0</v>
      </c>
      <c r="P482" s="3">
        <v>0</v>
      </c>
      <c r="Q482" s="3">
        <f t="shared" si="60"/>
        <v>1.75</v>
      </c>
      <c r="R482" s="1" t="s">
        <v>972</v>
      </c>
      <c r="S482" s="1" t="s">
        <v>23</v>
      </c>
      <c r="T482" s="3">
        <f t="shared" si="61"/>
        <v>0</v>
      </c>
      <c r="U482" s="44">
        <f>IF(Table1[[#This Row],[Initials]]="RM",$AE$10,IF(Table1[[#This Row],[Initials]]="JPH",$AE$11,IF(Table1[[#This Row],[Initials]]="IE",$AE$13,IF(Table1[[#This Row],[Initials]]="JM",$AE$14,1))))</f>
        <v>0.39500000000000002</v>
      </c>
      <c r="V482" s="3">
        <f>Table1[[#This Row],[FTE %]]*Table1[[#This Row],[Time Worked]]</f>
        <v>0.69125000000000003</v>
      </c>
      <c r="W48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108.3775</v>
      </c>
      <c r="X482" s="38">
        <f t="shared" si="62"/>
        <v>108.3775</v>
      </c>
      <c r="Y482" s="18">
        <f t="shared" si="63"/>
        <v>0</v>
      </c>
    </row>
    <row r="483" spans="1:25" x14ac:dyDescent="0.25">
      <c r="A483" s="10">
        <f t="shared" si="65"/>
        <v>482</v>
      </c>
      <c r="B483" s="6" t="str">
        <f t="shared" si="57"/>
        <v>71220192639JM</v>
      </c>
      <c r="C483" s="1" t="s">
        <v>967</v>
      </c>
      <c r="D483" s="1" t="s">
        <v>996</v>
      </c>
      <c r="E483" s="1" t="str">
        <f t="shared" si="58"/>
        <v>Unbilled</v>
      </c>
      <c r="F483" s="1">
        <v>2639</v>
      </c>
      <c r="G483" s="37" t="str">
        <f>VLOOKUP(Table1[[#This Row],[WO'#]],Table2[#All],2,FALSE)</f>
        <v>Web Maint. 2nd Half 2019 (FY20)</v>
      </c>
      <c r="H483" s="20" t="s">
        <v>996</v>
      </c>
      <c r="I483" s="2">
        <v>43658</v>
      </c>
      <c r="J483" s="4">
        <f t="shared" si="59"/>
        <v>12</v>
      </c>
      <c r="K483" s="3">
        <v>0</v>
      </c>
      <c r="L483" s="3">
        <v>0</v>
      </c>
      <c r="M483" s="3">
        <v>0.5</v>
      </c>
      <c r="N483" s="3">
        <v>0</v>
      </c>
      <c r="O483" s="3">
        <v>0</v>
      </c>
      <c r="P483" s="3">
        <v>0</v>
      </c>
      <c r="Q483" s="3">
        <f t="shared" si="60"/>
        <v>0.5</v>
      </c>
      <c r="R483" s="1" t="s">
        <v>972</v>
      </c>
      <c r="S483" s="1" t="s">
        <v>23</v>
      </c>
      <c r="T483" s="3">
        <f t="shared" si="61"/>
        <v>0</v>
      </c>
      <c r="U483" s="44">
        <f>IF(Table1[[#This Row],[Initials]]="RM",$AE$10,IF(Table1[[#This Row],[Initials]]="JPH",$AE$11,IF(Table1[[#This Row],[Initials]]="IE",$AE$13,IF(Table1[[#This Row],[Initials]]="JM",$AE$14,1))))</f>
        <v>0.39500000000000002</v>
      </c>
      <c r="V483" s="3">
        <f>Table1[[#This Row],[FTE %]]*Table1[[#This Row],[Time Worked]]</f>
        <v>0.19750000000000001</v>
      </c>
      <c r="W48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83" s="38">
        <f t="shared" si="62"/>
        <v>30.965</v>
      </c>
      <c r="Y483" s="18">
        <f t="shared" si="63"/>
        <v>0</v>
      </c>
    </row>
    <row r="484" spans="1:25" x14ac:dyDescent="0.25">
      <c r="A484" s="10">
        <f t="shared" si="65"/>
        <v>483</v>
      </c>
      <c r="B484" s="6" t="str">
        <f t="shared" si="57"/>
        <v>71620192639RM</v>
      </c>
      <c r="C484" s="1" t="s">
        <v>967</v>
      </c>
      <c r="D484" s="1" t="s">
        <v>996</v>
      </c>
      <c r="E484" s="1" t="str">
        <f t="shared" si="58"/>
        <v>Unbilled</v>
      </c>
      <c r="F484" s="1">
        <v>2639</v>
      </c>
      <c r="G484" s="37" t="str">
        <f>VLOOKUP(Table1[[#This Row],[WO'#]],Table2[#All],2,FALSE)</f>
        <v>Web Maint. 2nd Half 2019 (FY20)</v>
      </c>
      <c r="H484" s="20" t="s">
        <v>996</v>
      </c>
      <c r="I484" s="2">
        <v>43662</v>
      </c>
      <c r="J484" s="4">
        <f t="shared" si="59"/>
        <v>16</v>
      </c>
      <c r="K484" s="3">
        <v>0</v>
      </c>
      <c r="L484" s="3">
        <v>0</v>
      </c>
      <c r="M484" s="3">
        <v>1.5</v>
      </c>
      <c r="N484" s="3">
        <v>0</v>
      </c>
      <c r="O484" s="3">
        <v>0</v>
      </c>
      <c r="P484" s="3">
        <v>0</v>
      </c>
      <c r="Q484" s="3">
        <f t="shared" si="60"/>
        <v>1.5</v>
      </c>
      <c r="R484" s="1" t="s">
        <v>17</v>
      </c>
      <c r="S484" s="1" t="s">
        <v>23</v>
      </c>
      <c r="T484" s="3">
        <f t="shared" si="61"/>
        <v>0</v>
      </c>
      <c r="U484" s="44">
        <f>IF(Table1[[#This Row],[Initials]]="RM",$AE$10,IF(Table1[[#This Row],[Initials]]="JPH",$AE$11,IF(Table1[[#This Row],[Initials]]="IE",$AE$13,IF(Table1[[#This Row],[Initials]]="JM",$AE$14,1))))</f>
        <v>0.5</v>
      </c>
      <c r="V484" s="3">
        <f>Table1[[#This Row],[FTE %]]*Table1[[#This Row],[Time Worked]]</f>
        <v>0.75</v>
      </c>
      <c r="W48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84" s="38">
        <f t="shared" si="62"/>
        <v>92.894999999999996</v>
      </c>
      <c r="Y484" s="18">
        <f t="shared" si="63"/>
        <v>0</v>
      </c>
    </row>
    <row r="485" spans="1:25" x14ac:dyDescent="0.25">
      <c r="A485" s="10">
        <f t="shared" si="65"/>
        <v>484</v>
      </c>
      <c r="B485" s="6" t="str">
        <f t="shared" si="57"/>
        <v>71620192639RM</v>
      </c>
      <c r="C485" s="1" t="s">
        <v>967</v>
      </c>
      <c r="D485" s="1" t="s">
        <v>996</v>
      </c>
      <c r="E485" s="1" t="str">
        <f t="shared" si="58"/>
        <v>Unbilled</v>
      </c>
      <c r="F485" s="1">
        <v>2639</v>
      </c>
      <c r="G485" s="37" t="str">
        <f>VLOOKUP(Table1[[#This Row],[WO'#]],Table2[#All],2,FALSE)</f>
        <v>Web Maint. 2nd Half 2019 (FY20)</v>
      </c>
      <c r="H485" s="20" t="s">
        <v>996</v>
      </c>
      <c r="I485" s="2">
        <v>43662</v>
      </c>
      <c r="J485" s="4">
        <f t="shared" si="59"/>
        <v>16</v>
      </c>
      <c r="K485" s="3">
        <v>0</v>
      </c>
      <c r="L485" s="3">
        <v>0</v>
      </c>
      <c r="M485" s="3">
        <v>0</v>
      </c>
      <c r="N485" s="3">
        <v>0.5</v>
      </c>
      <c r="O485" s="3">
        <v>0</v>
      </c>
      <c r="P485" s="3">
        <v>0</v>
      </c>
      <c r="Q485" s="3">
        <f t="shared" si="60"/>
        <v>0.5</v>
      </c>
      <c r="R485" s="1" t="s">
        <v>17</v>
      </c>
      <c r="S485" s="1" t="s">
        <v>23</v>
      </c>
      <c r="T485" s="3">
        <f t="shared" si="61"/>
        <v>0</v>
      </c>
      <c r="U485" s="44">
        <f>IF(Table1[[#This Row],[Initials]]="RM",$AE$10,IF(Table1[[#This Row],[Initials]]="JPH",$AE$11,IF(Table1[[#This Row],[Initials]]="IE",$AE$13,IF(Table1[[#This Row],[Initials]]="JM",$AE$14,1))))</f>
        <v>0.5</v>
      </c>
      <c r="V485" s="3">
        <f>Table1[[#This Row],[FTE %]]*Table1[[#This Row],[Time Worked]]</f>
        <v>0.25</v>
      </c>
      <c r="W48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85" s="38">
        <f t="shared" si="62"/>
        <v>30.965</v>
      </c>
      <c r="Y485" s="18">
        <f t="shared" si="63"/>
        <v>0</v>
      </c>
    </row>
    <row r="486" spans="1:25" x14ac:dyDescent="0.25">
      <c r="A486" s="10">
        <f t="shared" si="65"/>
        <v>485</v>
      </c>
      <c r="B486" s="6" t="str">
        <f t="shared" si="57"/>
        <v>71820192639JM</v>
      </c>
      <c r="C486" s="1" t="s">
        <v>967</v>
      </c>
      <c r="D486" s="1" t="s">
        <v>996</v>
      </c>
      <c r="E486" s="53" t="str">
        <f t="shared" si="58"/>
        <v>Unbilled</v>
      </c>
      <c r="F486" s="1">
        <v>2639</v>
      </c>
      <c r="G486" s="37" t="str">
        <f>VLOOKUP(Table1[[#This Row],[WO'#]],Table2[#All],2,FALSE)</f>
        <v>Web Maint. 2nd Half 2019 (FY20)</v>
      </c>
      <c r="H486" s="20" t="s">
        <v>996</v>
      </c>
      <c r="I486" s="2">
        <v>43664</v>
      </c>
      <c r="J486" s="4">
        <f t="shared" si="59"/>
        <v>18</v>
      </c>
      <c r="K486" s="3">
        <v>0</v>
      </c>
      <c r="L486" s="3">
        <v>0</v>
      </c>
      <c r="M486" s="3">
        <v>0.5</v>
      </c>
      <c r="N486" s="3">
        <v>0</v>
      </c>
      <c r="O486" s="3">
        <v>0</v>
      </c>
      <c r="P486" s="3">
        <v>0</v>
      </c>
      <c r="Q486" s="3">
        <f t="shared" si="60"/>
        <v>0.5</v>
      </c>
      <c r="R486" s="1" t="s">
        <v>972</v>
      </c>
      <c r="S486" s="1" t="s">
        <v>23</v>
      </c>
      <c r="T486" s="3">
        <f t="shared" si="61"/>
        <v>0</v>
      </c>
      <c r="U486" s="44">
        <f>IF(Table1[[#This Row],[Initials]]="RM",$AE$10,IF(Table1[[#This Row],[Initials]]="JPH",$AE$11,IF(Table1[[#This Row],[Initials]]="IE",$AE$13,IF(Table1[[#This Row],[Initials]]="JM",$AE$14,1))))</f>
        <v>0.39500000000000002</v>
      </c>
      <c r="V486" s="3">
        <f>Table1[[#This Row],[FTE %]]*Table1[[#This Row],[Time Worked]]</f>
        <v>0.19750000000000001</v>
      </c>
      <c r="W48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86" s="38">
        <f t="shared" si="62"/>
        <v>30.965</v>
      </c>
      <c r="Y486" s="18">
        <f t="shared" si="63"/>
        <v>0</v>
      </c>
    </row>
    <row r="487" spans="1:25" x14ac:dyDescent="0.25">
      <c r="A487" s="10">
        <f t="shared" si="65"/>
        <v>486</v>
      </c>
      <c r="B487" s="6" t="str">
        <f t="shared" si="57"/>
        <v>72920192639RM</v>
      </c>
      <c r="C487" s="1" t="s">
        <v>967</v>
      </c>
      <c r="D487" s="1" t="s">
        <v>996</v>
      </c>
      <c r="E487" s="53" t="str">
        <f t="shared" si="58"/>
        <v>Unbilled</v>
      </c>
      <c r="F487" s="1">
        <v>2639</v>
      </c>
      <c r="G487" s="37" t="str">
        <f>VLOOKUP(Table1[[#This Row],[WO'#]],Table2[#All],2,FALSE)</f>
        <v>Web Maint. 2nd Half 2019 (FY20)</v>
      </c>
      <c r="H487" s="20" t="s">
        <v>996</v>
      </c>
      <c r="I487" s="2">
        <v>43675</v>
      </c>
      <c r="J487" s="4">
        <f t="shared" si="59"/>
        <v>29</v>
      </c>
      <c r="K487" s="3">
        <v>0</v>
      </c>
      <c r="L487" s="3">
        <v>0</v>
      </c>
      <c r="M487" s="3">
        <v>2</v>
      </c>
      <c r="N487" s="3">
        <v>0</v>
      </c>
      <c r="O487" s="3">
        <v>0</v>
      </c>
      <c r="P487" s="3">
        <v>0</v>
      </c>
      <c r="Q487" s="3">
        <f t="shared" si="60"/>
        <v>2</v>
      </c>
      <c r="R487" s="1" t="s">
        <v>17</v>
      </c>
      <c r="S487" s="1" t="s">
        <v>23</v>
      </c>
      <c r="T487" s="3">
        <f t="shared" si="61"/>
        <v>0</v>
      </c>
      <c r="U487" s="44">
        <f>IF(Table1[[#This Row],[Initials]]="RM",$AE$10,IF(Table1[[#This Row],[Initials]]="JPH",$AE$11,IF(Table1[[#This Row],[Initials]]="IE",$AE$13,IF(Table1[[#This Row],[Initials]]="JM",$AE$14,1))))</f>
        <v>0.5</v>
      </c>
      <c r="V487" s="3">
        <f>Table1[[#This Row],[FTE %]]*Table1[[#This Row],[Time Worked]]</f>
        <v>1</v>
      </c>
      <c r="W48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487" s="38">
        <f t="shared" si="62"/>
        <v>123.86</v>
      </c>
      <c r="Y487" s="18">
        <f t="shared" si="63"/>
        <v>0</v>
      </c>
    </row>
    <row r="488" spans="1:25" x14ac:dyDescent="0.25">
      <c r="A488" s="10">
        <f t="shared" si="65"/>
        <v>487</v>
      </c>
      <c r="B488" s="6" t="str">
        <f t="shared" si="57"/>
        <v>8620192639RM</v>
      </c>
      <c r="C488" s="1" t="s">
        <v>967</v>
      </c>
      <c r="D488" s="1" t="s">
        <v>996</v>
      </c>
      <c r="E488" s="53" t="str">
        <f t="shared" si="58"/>
        <v>Unbilled</v>
      </c>
      <c r="F488" s="1">
        <v>2639</v>
      </c>
      <c r="G488" s="37" t="str">
        <f>VLOOKUP(Table1[[#This Row],[WO'#]],Table2[#All],2,FALSE)</f>
        <v>Web Maint. 2nd Half 2019 (FY20)</v>
      </c>
      <c r="H488" s="20" t="s">
        <v>996</v>
      </c>
      <c r="I488" s="2">
        <v>43683</v>
      </c>
      <c r="J488" s="4">
        <f t="shared" si="59"/>
        <v>6</v>
      </c>
      <c r="K488" s="3">
        <v>0</v>
      </c>
      <c r="L488" s="3">
        <v>0</v>
      </c>
      <c r="M488" s="3">
        <v>0</v>
      </c>
      <c r="N488" s="3">
        <v>1</v>
      </c>
      <c r="O488" s="3">
        <v>0</v>
      </c>
      <c r="P488" s="3">
        <v>0</v>
      </c>
      <c r="Q488" s="3">
        <f t="shared" si="60"/>
        <v>1</v>
      </c>
      <c r="R488" s="1" t="s">
        <v>17</v>
      </c>
      <c r="S488" s="1" t="s">
        <v>23</v>
      </c>
      <c r="T488" s="3">
        <f t="shared" si="61"/>
        <v>0</v>
      </c>
      <c r="U488" s="44">
        <f>IF(Table1[[#This Row],[Initials]]="RM",$AE$10,IF(Table1[[#This Row],[Initials]]="JPH",$AE$11,IF(Table1[[#This Row],[Initials]]="IE",$AE$13,IF(Table1[[#This Row],[Initials]]="JM",$AE$14,1))))</f>
        <v>0.5</v>
      </c>
      <c r="V488" s="3">
        <f>Table1[[#This Row],[FTE %]]*Table1[[#This Row],[Time Worked]]</f>
        <v>0.5</v>
      </c>
      <c r="W48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88" s="38">
        <f t="shared" si="62"/>
        <v>61.93</v>
      </c>
      <c r="Y488" s="18">
        <f t="shared" si="63"/>
        <v>0</v>
      </c>
    </row>
    <row r="489" spans="1:25" x14ac:dyDescent="0.25">
      <c r="A489" s="10">
        <f t="shared" si="65"/>
        <v>488</v>
      </c>
      <c r="B489" s="6" t="str">
        <f t="shared" si="57"/>
        <v>8920192639JM</v>
      </c>
      <c r="C489" s="1" t="s">
        <v>967</v>
      </c>
      <c r="D489" s="1" t="s">
        <v>996</v>
      </c>
      <c r="E489" s="53" t="str">
        <f t="shared" si="58"/>
        <v>Unbilled</v>
      </c>
      <c r="F489" s="1">
        <v>2639</v>
      </c>
      <c r="G489" s="37" t="str">
        <f>VLOOKUP(Table1[[#This Row],[WO'#]],Table2[#All],2,FALSE)</f>
        <v>Web Maint. 2nd Half 2019 (FY20)</v>
      </c>
      <c r="H489" s="20" t="s">
        <v>996</v>
      </c>
      <c r="I489" s="2">
        <v>43686</v>
      </c>
      <c r="J489" s="4">
        <f t="shared" si="59"/>
        <v>9</v>
      </c>
      <c r="K489" s="3">
        <v>0</v>
      </c>
      <c r="L489" s="3">
        <v>0</v>
      </c>
      <c r="M489" s="3">
        <v>0.25</v>
      </c>
      <c r="N489" s="3">
        <v>0</v>
      </c>
      <c r="O489" s="3">
        <v>0</v>
      </c>
      <c r="P489" s="3">
        <v>0</v>
      </c>
      <c r="Q489" s="3">
        <f t="shared" si="60"/>
        <v>0.25</v>
      </c>
      <c r="R489" s="1" t="s">
        <v>972</v>
      </c>
      <c r="S489" s="1" t="s">
        <v>23</v>
      </c>
      <c r="T489" s="3">
        <f t="shared" si="61"/>
        <v>0</v>
      </c>
      <c r="U489" s="44">
        <f>IF(Table1[[#This Row],[Initials]]="RM",$AE$10,IF(Table1[[#This Row],[Initials]]="JPH",$AE$11,IF(Table1[[#This Row],[Initials]]="IE",$AE$13,IF(Table1[[#This Row],[Initials]]="JM",$AE$14,1))))</f>
        <v>0.39500000000000002</v>
      </c>
      <c r="V489" s="3">
        <f>Table1[[#This Row],[FTE %]]*Table1[[#This Row],[Time Worked]]</f>
        <v>9.8750000000000004E-2</v>
      </c>
      <c r="W48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89" s="38">
        <f t="shared" si="62"/>
        <v>15.4825</v>
      </c>
      <c r="Y489" s="18">
        <f t="shared" si="63"/>
        <v>0</v>
      </c>
    </row>
    <row r="490" spans="1:25" x14ac:dyDescent="0.25">
      <c r="A490" s="10">
        <f t="shared" si="65"/>
        <v>489</v>
      </c>
      <c r="B490" s="6" t="str">
        <f t="shared" si="57"/>
        <v>81320192639JM</v>
      </c>
      <c r="C490" s="1" t="s">
        <v>967</v>
      </c>
      <c r="D490" s="1" t="s">
        <v>996</v>
      </c>
      <c r="E490" s="53" t="str">
        <f t="shared" si="58"/>
        <v>Unbilled</v>
      </c>
      <c r="F490" s="1">
        <v>2639</v>
      </c>
      <c r="G490" s="37" t="str">
        <f>VLOOKUP(Table1[[#This Row],[WO'#]],Table2[#All],2,FALSE)</f>
        <v>Web Maint. 2nd Half 2019 (FY20)</v>
      </c>
      <c r="H490" s="20" t="s">
        <v>996</v>
      </c>
      <c r="I490" s="2">
        <v>43690</v>
      </c>
      <c r="J490" s="4">
        <f t="shared" si="59"/>
        <v>13</v>
      </c>
      <c r="K490" s="3">
        <v>0</v>
      </c>
      <c r="L490" s="3">
        <v>0</v>
      </c>
      <c r="M490" s="3">
        <v>0.25</v>
      </c>
      <c r="N490" s="3">
        <v>0</v>
      </c>
      <c r="O490" s="3">
        <v>0</v>
      </c>
      <c r="P490" s="3">
        <v>0</v>
      </c>
      <c r="Q490" s="3">
        <f t="shared" si="60"/>
        <v>0.25</v>
      </c>
      <c r="R490" s="1" t="s">
        <v>972</v>
      </c>
      <c r="S490" s="1" t="s">
        <v>23</v>
      </c>
      <c r="T490" s="3">
        <f t="shared" si="61"/>
        <v>0</v>
      </c>
      <c r="U490" s="44">
        <f>IF(Table1[[#This Row],[Initials]]="RM",$AE$10,IF(Table1[[#This Row],[Initials]]="JPH",$AE$11,IF(Table1[[#This Row],[Initials]]="IE",$AE$13,IF(Table1[[#This Row],[Initials]]="JM",$AE$14,1))))</f>
        <v>0.39500000000000002</v>
      </c>
      <c r="V490" s="3">
        <f>Table1[[#This Row],[FTE %]]*Table1[[#This Row],[Time Worked]]</f>
        <v>9.8750000000000004E-2</v>
      </c>
      <c r="W49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90" s="38">
        <f t="shared" si="62"/>
        <v>15.4825</v>
      </c>
      <c r="Y490" s="18">
        <f t="shared" si="63"/>
        <v>0</v>
      </c>
    </row>
    <row r="491" spans="1:25" x14ac:dyDescent="0.25">
      <c r="A491" s="10">
        <f t="shared" si="65"/>
        <v>490</v>
      </c>
      <c r="B491" s="6" t="str">
        <f t="shared" si="57"/>
        <v>81420192639JM</v>
      </c>
      <c r="C491" s="1" t="s">
        <v>967</v>
      </c>
      <c r="D491" s="1" t="s">
        <v>996</v>
      </c>
      <c r="E491" s="53" t="str">
        <f t="shared" si="58"/>
        <v>Unbilled</v>
      </c>
      <c r="F491" s="1">
        <v>2639</v>
      </c>
      <c r="G491" s="37" t="str">
        <f>VLOOKUP(Table1[[#This Row],[WO'#]],Table2[#All],2,FALSE)</f>
        <v>Web Maint. 2nd Half 2019 (FY20)</v>
      </c>
      <c r="H491" s="20" t="s">
        <v>996</v>
      </c>
      <c r="I491" s="2">
        <v>43691</v>
      </c>
      <c r="J491" s="4">
        <f t="shared" si="59"/>
        <v>14</v>
      </c>
      <c r="K491" s="3">
        <v>0</v>
      </c>
      <c r="L491" s="3">
        <v>0</v>
      </c>
      <c r="M491" s="3">
        <v>0.25</v>
      </c>
      <c r="N491" s="3">
        <v>0</v>
      </c>
      <c r="O491" s="3">
        <v>0</v>
      </c>
      <c r="P491" s="3">
        <v>0</v>
      </c>
      <c r="Q491" s="3">
        <f t="shared" si="60"/>
        <v>0.25</v>
      </c>
      <c r="R491" s="1" t="s">
        <v>972</v>
      </c>
      <c r="S491" s="1" t="s">
        <v>23</v>
      </c>
      <c r="T491" s="3">
        <f t="shared" si="61"/>
        <v>0</v>
      </c>
      <c r="U491" s="44">
        <f>IF(Table1[[#This Row],[Initials]]="RM",$AE$10,IF(Table1[[#This Row],[Initials]]="JPH",$AE$11,IF(Table1[[#This Row],[Initials]]="IE",$AE$13,IF(Table1[[#This Row],[Initials]]="JM",$AE$14,1))))</f>
        <v>0.39500000000000002</v>
      </c>
      <c r="V491" s="3">
        <f>Table1[[#This Row],[FTE %]]*Table1[[#This Row],[Time Worked]]</f>
        <v>9.8750000000000004E-2</v>
      </c>
      <c r="W49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91" s="38">
        <f t="shared" si="62"/>
        <v>15.4825</v>
      </c>
      <c r="Y491" s="18">
        <f t="shared" si="63"/>
        <v>0</v>
      </c>
    </row>
    <row r="492" spans="1:25" x14ac:dyDescent="0.25">
      <c r="A492" s="10">
        <f t="shared" ref="A492:A520" si="66">IF(IFERROR(A491+1,1)=1,1,A491+1)</f>
        <v>491</v>
      </c>
      <c r="B492" s="6" t="str">
        <f t="shared" si="57"/>
        <v>81520192639JM</v>
      </c>
      <c r="C492" s="1" t="s">
        <v>967</v>
      </c>
      <c r="D492" s="1" t="s">
        <v>996</v>
      </c>
      <c r="E492" s="53" t="str">
        <f t="shared" si="58"/>
        <v>Unbilled</v>
      </c>
      <c r="F492" s="1">
        <v>2639</v>
      </c>
      <c r="G492" s="37" t="str">
        <f>VLOOKUP(Table1[[#This Row],[WO'#]],Table2[#All],2,FALSE)</f>
        <v>Web Maint. 2nd Half 2019 (FY20)</v>
      </c>
      <c r="H492" s="20" t="s">
        <v>996</v>
      </c>
      <c r="I492" s="2">
        <v>43692</v>
      </c>
      <c r="J492" s="4">
        <f t="shared" si="59"/>
        <v>15</v>
      </c>
      <c r="K492" s="3">
        <v>0</v>
      </c>
      <c r="L492" s="3">
        <v>0</v>
      </c>
      <c r="M492" s="3">
        <v>1.5</v>
      </c>
      <c r="N492" s="3">
        <v>0</v>
      </c>
      <c r="O492" s="3">
        <v>0</v>
      </c>
      <c r="P492" s="3">
        <v>0</v>
      </c>
      <c r="Q492" s="3">
        <f t="shared" si="60"/>
        <v>1.5</v>
      </c>
      <c r="R492" s="1" t="s">
        <v>972</v>
      </c>
      <c r="S492" s="1" t="s">
        <v>23</v>
      </c>
      <c r="T492" s="3">
        <f t="shared" si="61"/>
        <v>0</v>
      </c>
      <c r="U492" s="44">
        <f>IF(Table1[[#This Row],[Initials]]="RM",$AE$10,IF(Table1[[#This Row],[Initials]]="JPH",$AE$11,IF(Table1[[#This Row],[Initials]]="IE",$AE$13,IF(Table1[[#This Row],[Initials]]="JM",$AE$14,1))))</f>
        <v>0.39500000000000002</v>
      </c>
      <c r="V492" s="3">
        <f>Table1[[#This Row],[FTE %]]*Table1[[#This Row],[Time Worked]]</f>
        <v>0.59250000000000003</v>
      </c>
      <c r="W49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492" s="38">
        <f t="shared" si="62"/>
        <v>92.894999999999996</v>
      </c>
      <c r="Y492" s="18">
        <f t="shared" si="63"/>
        <v>0</v>
      </c>
    </row>
    <row r="493" spans="1:25" x14ac:dyDescent="0.25">
      <c r="A493" s="10">
        <f t="shared" si="66"/>
        <v>492</v>
      </c>
      <c r="B493" s="6" t="str">
        <f t="shared" si="57"/>
        <v>81920192639JPH</v>
      </c>
      <c r="C493" s="1" t="s">
        <v>967</v>
      </c>
      <c r="D493" s="1" t="s">
        <v>996</v>
      </c>
      <c r="E493" s="53" t="str">
        <f t="shared" si="58"/>
        <v>Unbilled</v>
      </c>
      <c r="F493" s="1">
        <v>2639</v>
      </c>
      <c r="G493" s="37" t="str">
        <f>VLOOKUP(Table1[[#This Row],[WO'#]],Table2[#All],2,FALSE)</f>
        <v>Web Maint. 2nd Half 2019 (FY20)</v>
      </c>
      <c r="H493" s="20" t="s">
        <v>996</v>
      </c>
      <c r="I493" s="2">
        <v>43696</v>
      </c>
      <c r="J493" s="4">
        <f t="shared" si="59"/>
        <v>19</v>
      </c>
      <c r="K493" s="3">
        <v>0</v>
      </c>
      <c r="L493" s="3">
        <v>0</v>
      </c>
      <c r="M493" s="3">
        <v>2.25</v>
      </c>
      <c r="N493" s="3">
        <v>0</v>
      </c>
      <c r="O493" s="3">
        <v>0</v>
      </c>
      <c r="P493" s="3">
        <v>0</v>
      </c>
      <c r="Q493" s="3">
        <f t="shared" si="60"/>
        <v>2.25</v>
      </c>
      <c r="R493" s="1" t="s">
        <v>970</v>
      </c>
      <c r="S493" s="1" t="s">
        <v>23</v>
      </c>
      <c r="T493" s="3">
        <f t="shared" si="61"/>
        <v>0</v>
      </c>
      <c r="U493" s="44">
        <f>IF(Table1[[#This Row],[Initials]]="RM",$AE$10,IF(Table1[[#This Row],[Initials]]="JPH",$AE$11,IF(Table1[[#This Row],[Initials]]="IE",$AE$13,IF(Table1[[#This Row],[Initials]]="JM",$AE$14,1))))</f>
        <v>0.53</v>
      </c>
      <c r="V493" s="3">
        <f>Table1[[#This Row],[FTE %]]*Table1[[#This Row],[Time Worked]]</f>
        <v>1.1925000000000001</v>
      </c>
      <c r="W49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493" s="38">
        <f t="shared" si="62"/>
        <v>139.3425</v>
      </c>
      <c r="Y493" s="18">
        <f t="shared" si="63"/>
        <v>0</v>
      </c>
    </row>
    <row r="494" spans="1:25" x14ac:dyDescent="0.25">
      <c r="A494" s="10">
        <f t="shared" si="66"/>
        <v>493</v>
      </c>
      <c r="B494" s="6" t="str">
        <f t="shared" si="57"/>
        <v>81920192639RM</v>
      </c>
      <c r="C494" s="1" t="s">
        <v>967</v>
      </c>
      <c r="D494" s="1" t="s">
        <v>996</v>
      </c>
      <c r="E494" s="53" t="str">
        <f t="shared" si="58"/>
        <v>Unbilled</v>
      </c>
      <c r="F494" s="1">
        <v>2639</v>
      </c>
      <c r="G494" s="37" t="str">
        <f>VLOOKUP(Table1[[#This Row],[WO'#]],Table2[#All],2,FALSE)</f>
        <v>Web Maint. 2nd Half 2019 (FY20)</v>
      </c>
      <c r="H494" s="20" t="s">
        <v>996</v>
      </c>
      <c r="I494" s="2">
        <v>43696</v>
      </c>
      <c r="J494" s="4">
        <f t="shared" si="59"/>
        <v>19</v>
      </c>
      <c r="K494" s="3">
        <v>0</v>
      </c>
      <c r="L494" s="3">
        <v>0</v>
      </c>
      <c r="M494" s="3">
        <v>0</v>
      </c>
      <c r="N494" s="3">
        <v>1</v>
      </c>
      <c r="O494" s="3">
        <v>0</v>
      </c>
      <c r="P494" s="3">
        <v>0</v>
      </c>
      <c r="Q494" s="3">
        <f t="shared" si="60"/>
        <v>1</v>
      </c>
      <c r="R494" s="1" t="s">
        <v>17</v>
      </c>
      <c r="S494" s="1" t="s">
        <v>23</v>
      </c>
      <c r="T494" s="3">
        <f t="shared" si="61"/>
        <v>0</v>
      </c>
      <c r="U494" s="44">
        <f>IF(Table1[[#This Row],[Initials]]="RM",$AE$10,IF(Table1[[#This Row],[Initials]]="JPH",$AE$11,IF(Table1[[#This Row],[Initials]]="IE",$AE$13,IF(Table1[[#This Row],[Initials]]="JM",$AE$14,1))))</f>
        <v>0.5</v>
      </c>
      <c r="V494" s="3">
        <f>Table1[[#This Row],[FTE %]]*Table1[[#This Row],[Time Worked]]</f>
        <v>0.5</v>
      </c>
      <c r="W49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94" s="38">
        <f t="shared" si="62"/>
        <v>61.93</v>
      </c>
      <c r="Y494" s="18">
        <f t="shared" si="63"/>
        <v>0</v>
      </c>
    </row>
    <row r="495" spans="1:25" x14ac:dyDescent="0.25">
      <c r="A495" s="10">
        <f t="shared" si="66"/>
        <v>494</v>
      </c>
      <c r="B495" s="6" t="str">
        <f t="shared" si="57"/>
        <v>82320192639JM</v>
      </c>
      <c r="C495" s="1" t="s">
        <v>967</v>
      </c>
      <c r="D495" s="1" t="s">
        <v>996</v>
      </c>
      <c r="E495" s="53" t="str">
        <f t="shared" si="58"/>
        <v>Unbilled</v>
      </c>
      <c r="F495" s="1">
        <v>2639</v>
      </c>
      <c r="G495" s="37" t="str">
        <f>VLOOKUP(Table1[[#This Row],[WO'#]],Table2[#All],2,FALSE)</f>
        <v>Web Maint. 2nd Half 2019 (FY20)</v>
      </c>
      <c r="H495" s="20" t="s">
        <v>996</v>
      </c>
      <c r="I495" s="2">
        <v>43700</v>
      </c>
      <c r="J495" s="4">
        <f t="shared" si="59"/>
        <v>23</v>
      </c>
      <c r="K495" s="3">
        <v>0</v>
      </c>
      <c r="L495" s="3">
        <v>0</v>
      </c>
      <c r="M495" s="3">
        <v>0.25</v>
      </c>
      <c r="N495" s="3">
        <v>0</v>
      </c>
      <c r="O495" s="3">
        <v>0</v>
      </c>
      <c r="P495" s="3">
        <v>0</v>
      </c>
      <c r="Q495" s="3">
        <f t="shared" si="60"/>
        <v>0.25</v>
      </c>
      <c r="R495" s="1" t="s">
        <v>972</v>
      </c>
      <c r="S495" s="1" t="s">
        <v>23</v>
      </c>
      <c r="T495" s="3">
        <f t="shared" si="61"/>
        <v>0</v>
      </c>
      <c r="U495" s="44">
        <f>IF(Table1[[#This Row],[Initials]]="RM",$AE$10,IF(Table1[[#This Row],[Initials]]="JPH",$AE$11,IF(Table1[[#This Row],[Initials]]="IE",$AE$13,IF(Table1[[#This Row],[Initials]]="JM",$AE$14,1))))</f>
        <v>0.39500000000000002</v>
      </c>
      <c r="V495" s="3">
        <f>Table1[[#This Row],[FTE %]]*Table1[[#This Row],[Time Worked]]</f>
        <v>9.8750000000000004E-2</v>
      </c>
      <c r="W49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495" s="38">
        <f t="shared" si="62"/>
        <v>15.4825</v>
      </c>
      <c r="Y495" s="18">
        <f t="shared" si="63"/>
        <v>0</v>
      </c>
    </row>
    <row r="496" spans="1:25" x14ac:dyDescent="0.25">
      <c r="A496" s="10">
        <f t="shared" si="66"/>
        <v>495</v>
      </c>
      <c r="B496" s="6" t="str">
        <f t="shared" si="57"/>
        <v>82920192639JPH</v>
      </c>
      <c r="C496" s="1" t="s">
        <v>967</v>
      </c>
      <c r="D496" s="1" t="s">
        <v>996</v>
      </c>
      <c r="E496" s="53" t="str">
        <f t="shared" si="58"/>
        <v>Unbilled</v>
      </c>
      <c r="F496" s="1">
        <v>2639</v>
      </c>
      <c r="G496" s="37" t="str">
        <f>VLOOKUP(Table1[[#This Row],[WO'#]],Table2[#All],2,FALSE)</f>
        <v>Web Maint. 2nd Half 2019 (FY20)</v>
      </c>
      <c r="H496" s="20" t="s">
        <v>996</v>
      </c>
      <c r="I496" s="2">
        <v>43706</v>
      </c>
      <c r="J496" s="4">
        <f t="shared" si="59"/>
        <v>29</v>
      </c>
      <c r="K496" s="3">
        <v>0</v>
      </c>
      <c r="L496" s="3">
        <v>0</v>
      </c>
      <c r="M496" s="3">
        <v>0.5</v>
      </c>
      <c r="N496" s="3">
        <v>0</v>
      </c>
      <c r="O496" s="3">
        <v>0</v>
      </c>
      <c r="P496" s="3">
        <v>0</v>
      </c>
      <c r="Q496" s="3">
        <f t="shared" si="60"/>
        <v>0.5</v>
      </c>
      <c r="R496" s="1" t="s">
        <v>970</v>
      </c>
      <c r="S496" s="1" t="s">
        <v>23</v>
      </c>
      <c r="T496" s="3">
        <f t="shared" si="61"/>
        <v>0</v>
      </c>
      <c r="U496" s="44">
        <f>IF(Table1[[#This Row],[Initials]]="RM",$AE$10,IF(Table1[[#This Row],[Initials]]="JPH",$AE$11,IF(Table1[[#This Row],[Initials]]="IE",$AE$13,IF(Table1[[#This Row],[Initials]]="JM",$AE$14,1))))</f>
        <v>0.53</v>
      </c>
      <c r="V496" s="3">
        <f>Table1[[#This Row],[FTE %]]*Table1[[#This Row],[Time Worked]]</f>
        <v>0.26500000000000001</v>
      </c>
      <c r="W49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96" s="38">
        <f t="shared" si="62"/>
        <v>30.965</v>
      </c>
      <c r="Y496" s="18">
        <f t="shared" si="63"/>
        <v>0</v>
      </c>
    </row>
    <row r="497" spans="1:25" x14ac:dyDescent="0.25">
      <c r="A497" s="10">
        <f t="shared" si="66"/>
        <v>496</v>
      </c>
      <c r="B497" s="6" t="str">
        <f t="shared" si="57"/>
        <v>82920192639RM</v>
      </c>
      <c r="C497" s="1" t="s">
        <v>967</v>
      </c>
      <c r="D497" s="1" t="s">
        <v>996</v>
      </c>
      <c r="E497" s="53" t="str">
        <f t="shared" si="58"/>
        <v>Unbilled</v>
      </c>
      <c r="F497" s="1">
        <v>2639</v>
      </c>
      <c r="G497" s="37" t="str">
        <f>VLOOKUP(Table1[[#This Row],[WO'#]],Table2[#All],2,FALSE)</f>
        <v>Web Maint. 2nd Half 2019 (FY20)</v>
      </c>
      <c r="H497" s="20" t="s">
        <v>996</v>
      </c>
      <c r="I497" s="2">
        <v>43706</v>
      </c>
      <c r="J497" s="4">
        <f t="shared" si="59"/>
        <v>29</v>
      </c>
      <c r="K497" s="3">
        <v>0</v>
      </c>
      <c r="L497" s="3">
        <v>0</v>
      </c>
      <c r="M497" s="3">
        <v>0.5</v>
      </c>
      <c r="N497" s="3">
        <v>0</v>
      </c>
      <c r="O497" s="3">
        <v>0</v>
      </c>
      <c r="P497" s="3">
        <v>0</v>
      </c>
      <c r="Q497" s="3">
        <f t="shared" si="60"/>
        <v>0.5</v>
      </c>
      <c r="R497" s="1" t="s">
        <v>17</v>
      </c>
      <c r="S497" s="1" t="s">
        <v>23</v>
      </c>
      <c r="T497" s="3">
        <f t="shared" si="61"/>
        <v>0</v>
      </c>
      <c r="U497" s="44">
        <f>IF(Table1[[#This Row],[Initials]]="RM",$AE$10,IF(Table1[[#This Row],[Initials]]="JPH",$AE$11,IF(Table1[[#This Row],[Initials]]="IE",$AE$13,IF(Table1[[#This Row],[Initials]]="JM",$AE$14,1))))</f>
        <v>0.5</v>
      </c>
      <c r="V497" s="3">
        <f>Table1[[#This Row],[FTE %]]*Table1[[#This Row],[Time Worked]]</f>
        <v>0.25</v>
      </c>
      <c r="W49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97" s="38">
        <f t="shared" si="62"/>
        <v>30.965</v>
      </c>
      <c r="Y497" s="18">
        <f t="shared" si="63"/>
        <v>0</v>
      </c>
    </row>
    <row r="498" spans="1:25" x14ac:dyDescent="0.25">
      <c r="A498" s="10">
        <f t="shared" si="66"/>
        <v>497</v>
      </c>
      <c r="B498" s="6" t="str">
        <f t="shared" si="57"/>
        <v>9420192639RM</v>
      </c>
      <c r="C498" s="1" t="s">
        <v>967</v>
      </c>
      <c r="D498" s="1" t="s">
        <v>996</v>
      </c>
      <c r="E498" s="53" t="str">
        <f t="shared" si="58"/>
        <v>Unbilled</v>
      </c>
      <c r="F498" s="1">
        <v>2639</v>
      </c>
      <c r="G498" s="37" t="str">
        <f>VLOOKUP(Table1[[#This Row],[WO'#]],Table2[#All],2,FALSE)</f>
        <v>Web Maint. 2nd Half 2019 (FY20)</v>
      </c>
      <c r="H498" s="20" t="s">
        <v>996</v>
      </c>
      <c r="I498" s="2">
        <v>43712</v>
      </c>
      <c r="J498" s="4">
        <f t="shared" si="59"/>
        <v>4</v>
      </c>
      <c r="K498" s="3">
        <v>0</v>
      </c>
      <c r="L498" s="3">
        <v>0</v>
      </c>
      <c r="M498" s="3">
        <v>1</v>
      </c>
      <c r="N498" s="3">
        <v>0</v>
      </c>
      <c r="O498" s="3">
        <v>0</v>
      </c>
      <c r="P498" s="3">
        <v>0</v>
      </c>
      <c r="Q498" s="3">
        <f t="shared" si="60"/>
        <v>1</v>
      </c>
      <c r="R498" s="1" t="s">
        <v>17</v>
      </c>
      <c r="S498" s="1" t="s">
        <v>23</v>
      </c>
      <c r="T498" s="3">
        <f t="shared" si="61"/>
        <v>0</v>
      </c>
      <c r="U498" s="44">
        <f>IF(Table1[[#This Row],[Initials]]="RM",$AE$10,IF(Table1[[#This Row],[Initials]]="JPH",$AE$11,IF(Table1[[#This Row],[Initials]]="IE",$AE$13,IF(Table1[[#This Row],[Initials]]="JM",$AE$14,1))))</f>
        <v>0.5</v>
      </c>
      <c r="V498" s="3">
        <f>Table1[[#This Row],[FTE %]]*Table1[[#This Row],[Time Worked]]</f>
        <v>0.5</v>
      </c>
      <c r="W49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498" s="38">
        <f t="shared" si="62"/>
        <v>61.93</v>
      </c>
      <c r="Y498" s="18">
        <f t="shared" si="63"/>
        <v>0</v>
      </c>
    </row>
    <row r="499" spans="1:25" x14ac:dyDescent="0.25">
      <c r="A499" s="10">
        <f t="shared" si="66"/>
        <v>498</v>
      </c>
      <c r="B499" s="6" t="str">
        <f t="shared" si="57"/>
        <v>9520192639RM</v>
      </c>
      <c r="C499" s="1" t="s">
        <v>967</v>
      </c>
      <c r="D499" s="1" t="s">
        <v>996</v>
      </c>
      <c r="E499" s="53" t="str">
        <f t="shared" si="58"/>
        <v>Unbilled</v>
      </c>
      <c r="F499" s="1">
        <v>2639</v>
      </c>
      <c r="G499" s="37" t="str">
        <f>VLOOKUP(Table1[[#This Row],[WO'#]],Table2[#All],2,FALSE)</f>
        <v>Web Maint. 2nd Half 2019 (FY20)</v>
      </c>
      <c r="H499" s="20" t="s">
        <v>996</v>
      </c>
      <c r="I499" s="2">
        <v>43713</v>
      </c>
      <c r="J499" s="4">
        <f t="shared" si="59"/>
        <v>5</v>
      </c>
      <c r="K499" s="3">
        <v>0</v>
      </c>
      <c r="L499" s="3">
        <v>0</v>
      </c>
      <c r="M499" s="3">
        <v>0.5</v>
      </c>
      <c r="N499" s="3">
        <v>0</v>
      </c>
      <c r="O499" s="3">
        <v>0</v>
      </c>
      <c r="P499" s="3">
        <v>0</v>
      </c>
      <c r="Q499" s="3">
        <f t="shared" si="60"/>
        <v>0.5</v>
      </c>
      <c r="R499" s="1" t="s">
        <v>17</v>
      </c>
      <c r="S499" s="1" t="s">
        <v>23</v>
      </c>
      <c r="T499" s="3">
        <f t="shared" si="61"/>
        <v>0</v>
      </c>
      <c r="U499" s="44">
        <f>IF(Table1[[#This Row],[Initials]]="RM",$AE$10,IF(Table1[[#This Row],[Initials]]="JPH",$AE$11,IF(Table1[[#This Row],[Initials]]="IE",$AE$13,IF(Table1[[#This Row],[Initials]]="JM",$AE$14,1))))</f>
        <v>0.5</v>
      </c>
      <c r="V499" s="3">
        <f>Table1[[#This Row],[FTE %]]*Table1[[#This Row],[Time Worked]]</f>
        <v>0.25</v>
      </c>
      <c r="W49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499" s="38">
        <f t="shared" si="62"/>
        <v>30.965</v>
      </c>
      <c r="Y499" s="18">
        <f t="shared" si="63"/>
        <v>0</v>
      </c>
    </row>
    <row r="500" spans="1:25" x14ac:dyDescent="0.25">
      <c r="A500" s="10">
        <f t="shared" si="66"/>
        <v>499</v>
      </c>
      <c r="B500" s="6" t="str">
        <f t="shared" si="57"/>
        <v>91020192639RM</v>
      </c>
      <c r="C500" s="1" t="s">
        <v>967</v>
      </c>
      <c r="D500" s="1" t="s">
        <v>996</v>
      </c>
      <c r="E500" s="53" t="str">
        <f t="shared" si="58"/>
        <v>Unbilled</v>
      </c>
      <c r="F500" s="1">
        <v>2639</v>
      </c>
      <c r="G500" s="37" t="str">
        <f>VLOOKUP(Table1[[#This Row],[WO'#]],Table2[#All],2,FALSE)</f>
        <v>Web Maint. 2nd Half 2019 (FY20)</v>
      </c>
      <c r="H500" s="20" t="s">
        <v>996</v>
      </c>
      <c r="I500" s="2">
        <v>43718</v>
      </c>
      <c r="J500" s="4">
        <f t="shared" si="59"/>
        <v>10</v>
      </c>
      <c r="K500" s="3">
        <v>0</v>
      </c>
      <c r="L500" s="3">
        <v>0</v>
      </c>
      <c r="M500" s="3">
        <v>1</v>
      </c>
      <c r="N500" s="3">
        <v>0</v>
      </c>
      <c r="O500" s="3">
        <v>0</v>
      </c>
      <c r="P500" s="3">
        <v>0</v>
      </c>
      <c r="Q500" s="3">
        <f t="shared" si="60"/>
        <v>1</v>
      </c>
      <c r="R500" s="1" t="s">
        <v>17</v>
      </c>
      <c r="S500" s="1" t="s">
        <v>23</v>
      </c>
      <c r="T500" s="3">
        <f t="shared" si="61"/>
        <v>0</v>
      </c>
      <c r="U500" s="44">
        <f>IF(Table1[[#This Row],[Initials]]="RM",$AE$10,IF(Table1[[#This Row],[Initials]]="JPH",$AE$11,IF(Table1[[#This Row],[Initials]]="IE",$AE$13,IF(Table1[[#This Row],[Initials]]="JM",$AE$14,1))))</f>
        <v>0.5</v>
      </c>
      <c r="V500" s="3">
        <f>Table1[[#This Row],[FTE %]]*Table1[[#This Row],[Time Worked]]</f>
        <v>0.5</v>
      </c>
      <c r="W50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500" s="38">
        <f t="shared" si="62"/>
        <v>61.93</v>
      </c>
      <c r="Y500" s="18">
        <f t="shared" si="63"/>
        <v>0</v>
      </c>
    </row>
    <row r="501" spans="1:25" x14ac:dyDescent="0.25">
      <c r="A501" s="10">
        <f t="shared" si="66"/>
        <v>500</v>
      </c>
      <c r="B501" s="6" t="str">
        <f t="shared" si="57"/>
        <v>71720192641IE</v>
      </c>
      <c r="C501" s="1" t="s">
        <v>967</v>
      </c>
      <c r="D501" s="1" t="s">
        <v>996</v>
      </c>
      <c r="E501" s="53" t="str">
        <f t="shared" si="58"/>
        <v>Unbilled</v>
      </c>
      <c r="F501" s="1">
        <v>2641</v>
      </c>
      <c r="G501" s="37" t="str">
        <f>VLOOKUP(Table1[[#This Row],[WO'#]],Table2[#All],2,FALSE)</f>
        <v>Meetings (P&amp;M) FY20</v>
      </c>
      <c r="H501" s="20" t="s">
        <v>996</v>
      </c>
      <c r="I501" s="2">
        <v>43663</v>
      </c>
      <c r="J501" s="4">
        <f t="shared" si="59"/>
        <v>17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1.5</v>
      </c>
      <c r="Q501" s="3">
        <f t="shared" si="60"/>
        <v>1.5</v>
      </c>
      <c r="R501" s="1" t="s">
        <v>971</v>
      </c>
      <c r="S501" s="1" t="s">
        <v>23</v>
      </c>
      <c r="T501" s="3">
        <f t="shared" si="61"/>
        <v>0</v>
      </c>
      <c r="U501" s="44">
        <f>IF(Table1[[#This Row],[Initials]]="RM",$AE$10,IF(Table1[[#This Row],[Initials]]="JPH",$AE$11,IF(Table1[[#This Row],[Initials]]="IE",$AE$13,IF(Table1[[#This Row],[Initials]]="JM",$AE$14,1))))</f>
        <v>1</v>
      </c>
      <c r="V501" s="3">
        <f>Table1[[#This Row],[FTE %]]*Table1[[#This Row],[Time Worked]]</f>
        <v>1.5</v>
      </c>
      <c r="W50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1" s="38">
        <f t="shared" si="62"/>
        <v>92.894999999999996</v>
      </c>
      <c r="Y501" s="18">
        <f t="shared" si="63"/>
        <v>0</v>
      </c>
    </row>
    <row r="502" spans="1:25" x14ac:dyDescent="0.25">
      <c r="A502" s="10">
        <f t="shared" si="66"/>
        <v>501</v>
      </c>
      <c r="B502" s="6" t="str">
        <f t="shared" si="57"/>
        <v>71720192641JM</v>
      </c>
      <c r="C502" s="1" t="s">
        <v>967</v>
      </c>
      <c r="D502" s="1" t="s">
        <v>996</v>
      </c>
      <c r="E502" s="53" t="str">
        <f t="shared" si="58"/>
        <v>Unbilled</v>
      </c>
      <c r="F502" s="1">
        <v>2641</v>
      </c>
      <c r="G502" s="37" t="str">
        <f>VLOOKUP(Table1[[#This Row],[WO'#]],Table2[#All],2,FALSE)</f>
        <v>Meetings (P&amp;M) FY20</v>
      </c>
      <c r="H502" s="20" t="s">
        <v>996</v>
      </c>
      <c r="I502" s="2">
        <v>43663</v>
      </c>
      <c r="J502" s="4">
        <f t="shared" si="59"/>
        <v>17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1.5</v>
      </c>
      <c r="Q502" s="3">
        <f t="shared" si="60"/>
        <v>1.5</v>
      </c>
      <c r="R502" s="1" t="s">
        <v>972</v>
      </c>
      <c r="S502" s="1" t="s">
        <v>23</v>
      </c>
      <c r="T502" s="3">
        <f t="shared" si="61"/>
        <v>0</v>
      </c>
      <c r="U502" s="44">
        <f>IF(Table1[[#This Row],[Initials]]="RM",$AE$10,IF(Table1[[#This Row],[Initials]]="JPH",$AE$11,IF(Table1[[#This Row],[Initials]]="IE",$AE$13,IF(Table1[[#This Row],[Initials]]="JM",$AE$14,1))))</f>
        <v>0.39500000000000002</v>
      </c>
      <c r="V502" s="3">
        <f>Table1[[#This Row],[FTE %]]*Table1[[#This Row],[Time Worked]]</f>
        <v>0.59250000000000003</v>
      </c>
      <c r="W50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2" s="38">
        <f t="shared" si="62"/>
        <v>92.894999999999996</v>
      </c>
      <c r="Y502" s="18">
        <f t="shared" si="63"/>
        <v>0</v>
      </c>
    </row>
    <row r="503" spans="1:25" x14ac:dyDescent="0.25">
      <c r="A503" s="10">
        <f t="shared" si="66"/>
        <v>502</v>
      </c>
      <c r="B503" s="6" t="str">
        <f t="shared" si="57"/>
        <v>71720192641RM</v>
      </c>
      <c r="C503" s="1" t="s">
        <v>967</v>
      </c>
      <c r="D503" s="1" t="s">
        <v>996</v>
      </c>
      <c r="E503" s="53" t="str">
        <f t="shared" si="58"/>
        <v>Unbilled</v>
      </c>
      <c r="F503" s="1">
        <v>2641</v>
      </c>
      <c r="G503" s="37" t="str">
        <f>VLOOKUP(Table1[[#This Row],[WO'#]],Table2[#All],2,FALSE)</f>
        <v>Meetings (P&amp;M) FY20</v>
      </c>
      <c r="H503" s="20" t="s">
        <v>996</v>
      </c>
      <c r="I503" s="2">
        <v>43663</v>
      </c>
      <c r="J503" s="4">
        <f t="shared" si="59"/>
        <v>17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1.5</v>
      </c>
      <c r="Q503" s="3">
        <f t="shared" si="60"/>
        <v>1.5</v>
      </c>
      <c r="R503" s="1" t="s">
        <v>17</v>
      </c>
      <c r="S503" s="1" t="s">
        <v>23</v>
      </c>
      <c r="T503" s="3">
        <f t="shared" si="61"/>
        <v>0</v>
      </c>
      <c r="U503" s="44">
        <f>IF(Table1[[#This Row],[Initials]]="RM",$AE$10,IF(Table1[[#This Row],[Initials]]="JPH",$AE$11,IF(Table1[[#This Row],[Initials]]="IE",$AE$13,IF(Table1[[#This Row],[Initials]]="JM",$AE$14,1))))</f>
        <v>0.5</v>
      </c>
      <c r="V503" s="3">
        <f>Table1[[#This Row],[FTE %]]*Table1[[#This Row],[Time Worked]]</f>
        <v>0.75</v>
      </c>
      <c r="W50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3" s="38">
        <f t="shared" si="62"/>
        <v>92.894999999999996</v>
      </c>
      <c r="Y503" s="18">
        <f t="shared" si="63"/>
        <v>0</v>
      </c>
    </row>
    <row r="504" spans="1:25" x14ac:dyDescent="0.25">
      <c r="A504" s="10">
        <f t="shared" si="66"/>
        <v>503</v>
      </c>
      <c r="B504" s="6" t="str">
        <f t="shared" si="57"/>
        <v>72220192641IE</v>
      </c>
      <c r="C504" s="1" t="s">
        <v>967</v>
      </c>
      <c r="D504" s="1" t="s">
        <v>996</v>
      </c>
      <c r="E504" s="53" t="str">
        <f t="shared" si="58"/>
        <v>Unbilled</v>
      </c>
      <c r="F504" s="1">
        <v>2641</v>
      </c>
      <c r="G504" s="37" t="str">
        <f>VLOOKUP(Table1[[#This Row],[WO'#]],Table2[#All],2,FALSE)</f>
        <v>Meetings (P&amp;M) FY20</v>
      </c>
      <c r="H504" s="20" t="s">
        <v>996</v>
      </c>
      <c r="I504" s="2">
        <v>43668</v>
      </c>
      <c r="J504" s="4">
        <f t="shared" si="59"/>
        <v>22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1.25</v>
      </c>
      <c r="Q504" s="3">
        <f t="shared" si="60"/>
        <v>1.25</v>
      </c>
      <c r="R504" s="1" t="s">
        <v>971</v>
      </c>
      <c r="S504" s="1" t="s">
        <v>23</v>
      </c>
      <c r="T504" s="3">
        <f t="shared" si="61"/>
        <v>0</v>
      </c>
      <c r="U504" s="44">
        <f>IF(Table1[[#This Row],[Initials]]="RM",$AE$10,IF(Table1[[#This Row],[Initials]]="JPH",$AE$11,IF(Table1[[#This Row],[Initials]]="IE",$AE$13,IF(Table1[[#This Row],[Initials]]="JM",$AE$14,1))))</f>
        <v>1</v>
      </c>
      <c r="V504" s="3">
        <f>Table1[[#This Row],[FTE %]]*Table1[[#This Row],[Time Worked]]</f>
        <v>1.25</v>
      </c>
      <c r="W50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504" s="38">
        <f t="shared" si="62"/>
        <v>77.412499999999994</v>
      </c>
      <c r="Y504" s="18">
        <f t="shared" si="63"/>
        <v>0</v>
      </c>
    </row>
    <row r="505" spans="1:25" x14ac:dyDescent="0.25">
      <c r="A505" s="10">
        <f t="shared" si="66"/>
        <v>504</v>
      </c>
      <c r="B505" s="6" t="str">
        <f t="shared" si="57"/>
        <v>72220192641RM</v>
      </c>
      <c r="C505" s="1" t="s">
        <v>967</v>
      </c>
      <c r="D505" s="1" t="s">
        <v>996</v>
      </c>
      <c r="E505" s="53" t="str">
        <f t="shared" si="58"/>
        <v>Unbilled</v>
      </c>
      <c r="F505" s="1">
        <v>2641</v>
      </c>
      <c r="G505" s="37" t="str">
        <f>VLOOKUP(Table1[[#This Row],[WO'#]],Table2[#All],2,FALSE)</f>
        <v>Meetings (P&amp;M) FY20</v>
      </c>
      <c r="H505" s="20" t="s">
        <v>996</v>
      </c>
      <c r="I505" s="2">
        <v>43668</v>
      </c>
      <c r="J505" s="4">
        <f t="shared" si="59"/>
        <v>22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3">
        <v>1.5</v>
      </c>
      <c r="Q505" s="3">
        <f t="shared" si="60"/>
        <v>1.5</v>
      </c>
      <c r="R505" s="1" t="s">
        <v>17</v>
      </c>
      <c r="S505" s="1" t="s">
        <v>23</v>
      </c>
      <c r="T505" s="3">
        <f t="shared" si="61"/>
        <v>0</v>
      </c>
      <c r="U505" s="44">
        <f>IF(Table1[[#This Row],[Initials]]="RM",$AE$10,IF(Table1[[#This Row],[Initials]]="JPH",$AE$11,IF(Table1[[#This Row],[Initials]]="IE",$AE$13,IF(Table1[[#This Row],[Initials]]="JM",$AE$14,1))))</f>
        <v>0.5</v>
      </c>
      <c r="V505" s="3">
        <f>Table1[[#This Row],[FTE %]]*Table1[[#This Row],[Time Worked]]</f>
        <v>0.75</v>
      </c>
      <c r="W50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5" s="38">
        <f t="shared" si="62"/>
        <v>92.894999999999996</v>
      </c>
      <c r="Y505" s="18">
        <f t="shared" si="63"/>
        <v>0</v>
      </c>
    </row>
    <row r="506" spans="1:25" x14ac:dyDescent="0.25">
      <c r="A506" s="10">
        <f t="shared" si="66"/>
        <v>505</v>
      </c>
      <c r="B506" s="6" t="str">
        <f t="shared" si="57"/>
        <v>9320192641IE</v>
      </c>
      <c r="C506" s="1" t="s">
        <v>967</v>
      </c>
      <c r="D506" s="1" t="s">
        <v>996</v>
      </c>
      <c r="E506" s="53" t="str">
        <f t="shared" si="58"/>
        <v>Unbilled</v>
      </c>
      <c r="F506" s="1">
        <v>2641</v>
      </c>
      <c r="G506" s="37" t="str">
        <f>VLOOKUP(Table1[[#This Row],[WO'#]],Table2[#All],2,FALSE)</f>
        <v>Meetings (P&amp;M) FY20</v>
      </c>
      <c r="H506" s="20" t="s">
        <v>996</v>
      </c>
      <c r="I506" s="2">
        <v>43711</v>
      </c>
      <c r="J506" s="4">
        <f t="shared" si="59"/>
        <v>3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1.5</v>
      </c>
      <c r="Q506" s="3">
        <f t="shared" si="60"/>
        <v>1.5</v>
      </c>
      <c r="R506" s="1" t="s">
        <v>971</v>
      </c>
      <c r="S506" s="1" t="s">
        <v>23</v>
      </c>
      <c r="T506" s="3">
        <f t="shared" si="61"/>
        <v>0</v>
      </c>
      <c r="U506" s="44">
        <f>IF(Table1[[#This Row],[Initials]]="RM",$AE$10,IF(Table1[[#This Row],[Initials]]="JPH",$AE$11,IF(Table1[[#This Row],[Initials]]="IE",$AE$13,IF(Table1[[#This Row],[Initials]]="JM",$AE$14,1))))</f>
        <v>1</v>
      </c>
      <c r="V506" s="3">
        <f>Table1[[#This Row],[FTE %]]*Table1[[#This Row],[Time Worked]]</f>
        <v>1.5</v>
      </c>
      <c r="W50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6" s="38">
        <f t="shared" si="62"/>
        <v>92.894999999999996</v>
      </c>
      <c r="Y506" s="18">
        <f t="shared" si="63"/>
        <v>0</v>
      </c>
    </row>
    <row r="507" spans="1:25" x14ac:dyDescent="0.25">
      <c r="A507" s="10">
        <f t="shared" si="66"/>
        <v>506</v>
      </c>
      <c r="B507" s="6" t="str">
        <f t="shared" si="57"/>
        <v>9320192641JM</v>
      </c>
      <c r="C507" s="1" t="s">
        <v>967</v>
      </c>
      <c r="D507" s="1" t="s">
        <v>996</v>
      </c>
      <c r="E507" s="53" t="str">
        <f t="shared" si="58"/>
        <v>Unbilled</v>
      </c>
      <c r="F507" s="1">
        <v>2641</v>
      </c>
      <c r="G507" s="37" t="str">
        <f>VLOOKUP(Table1[[#This Row],[WO'#]],Table2[#All],2,FALSE)</f>
        <v>Meetings (P&amp;M) FY20</v>
      </c>
      <c r="H507" s="20" t="s">
        <v>996</v>
      </c>
      <c r="I507" s="2">
        <v>43711</v>
      </c>
      <c r="J507" s="4">
        <f t="shared" si="59"/>
        <v>3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1.5</v>
      </c>
      <c r="Q507" s="3">
        <f t="shared" si="60"/>
        <v>1.5</v>
      </c>
      <c r="R507" s="1" t="s">
        <v>972</v>
      </c>
      <c r="S507" s="1" t="s">
        <v>23</v>
      </c>
      <c r="T507" s="3">
        <f t="shared" si="61"/>
        <v>0</v>
      </c>
      <c r="U507" s="44">
        <f>IF(Table1[[#This Row],[Initials]]="RM",$AE$10,IF(Table1[[#This Row],[Initials]]="JPH",$AE$11,IF(Table1[[#This Row],[Initials]]="IE",$AE$13,IF(Table1[[#This Row],[Initials]]="JM",$AE$14,1))))</f>
        <v>0.39500000000000002</v>
      </c>
      <c r="V507" s="3">
        <f>Table1[[#This Row],[FTE %]]*Table1[[#This Row],[Time Worked]]</f>
        <v>0.59250000000000003</v>
      </c>
      <c r="W50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7" s="38">
        <f t="shared" si="62"/>
        <v>92.894999999999996</v>
      </c>
      <c r="Y507" s="18">
        <f t="shared" si="63"/>
        <v>0</v>
      </c>
    </row>
    <row r="508" spans="1:25" x14ac:dyDescent="0.25">
      <c r="A508" s="10">
        <f t="shared" si="66"/>
        <v>507</v>
      </c>
      <c r="B508" s="6" t="str">
        <f t="shared" si="57"/>
        <v>9320192641JPH</v>
      </c>
      <c r="C508" s="1" t="s">
        <v>967</v>
      </c>
      <c r="D508" s="1" t="s">
        <v>996</v>
      </c>
      <c r="E508" s="53" t="str">
        <f t="shared" si="58"/>
        <v>Unbilled</v>
      </c>
      <c r="F508" s="1">
        <v>2641</v>
      </c>
      <c r="G508" s="37" t="str">
        <f>VLOOKUP(Table1[[#This Row],[WO'#]],Table2[#All],2,FALSE)</f>
        <v>Meetings (P&amp;M) FY20</v>
      </c>
      <c r="H508" s="20" t="s">
        <v>996</v>
      </c>
      <c r="I508" s="2">
        <v>43711</v>
      </c>
      <c r="J508" s="4">
        <f t="shared" si="59"/>
        <v>3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0.75</v>
      </c>
      <c r="Q508" s="3">
        <f t="shared" si="60"/>
        <v>0.75</v>
      </c>
      <c r="R508" s="1" t="s">
        <v>970</v>
      </c>
      <c r="S508" s="1" t="s">
        <v>23</v>
      </c>
      <c r="T508" s="3">
        <f t="shared" si="61"/>
        <v>0</v>
      </c>
      <c r="U508" s="44">
        <f>IF(Table1[[#This Row],[Initials]]="RM",$AE$10,IF(Table1[[#This Row],[Initials]]="JPH",$AE$11,IF(Table1[[#This Row],[Initials]]="IE",$AE$13,IF(Table1[[#This Row],[Initials]]="JM",$AE$14,1))))</f>
        <v>0.53</v>
      </c>
      <c r="V508" s="3">
        <f>Table1[[#This Row],[FTE %]]*Table1[[#This Row],[Time Worked]]</f>
        <v>0.39750000000000002</v>
      </c>
      <c r="W50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508" s="38">
        <f t="shared" si="62"/>
        <v>46.447499999999998</v>
      </c>
      <c r="Y508" s="18">
        <f t="shared" si="63"/>
        <v>0</v>
      </c>
    </row>
    <row r="509" spans="1:25" x14ac:dyDescent="0.25">
      <c r="A509" s="10">
        <f t="shared" si="66"/>
        <v>508</v>
      </c>
      <c r="B509" s="6" t="str">
        <f t="shared" si="57"/>
        <v>9320192641RM</v>
      </c>
      <c r="C509" s="1" t="s">
        <v>967</v>
      </c>
      <c r="D509" s="1" t="s">
        <v>996</v>
      </c>
      <c r="E509" s="53" t="str">
        <f t="shared" si="58"/>
        <v>Unbilled</v>
      </c>
      <c r="F509" s="1">
        <v>2641</v>
      </c>
      <c r="G509" s="37" t="str">
        <f>VLOOKUP(Table1[[#This Row],[WO'#]],Table2[#All],2,FALSE)</f>
        <v>Meetings (P&amp;M) FY20</v>
      </c>
      <c r="H509" s="20" t="s">
        <v>996</v>
      </c>
      <c r="I509" s="2">
        <v>43711</v>
      </c>
      <c r="J509" s="4">
        <f t="shared" si="59"/>
        <v>3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1.5</v>
      </c>
      <c r="Q509" s="3">
        <f t="shared" si="60"/>
        <v>1.5</v>
      </c>
      <c r="R509" s="1" t="s">
        <v>17</v>
      </c>
      <c r="S509" s="1" t="s">
        <v>23</v>
      </c>
      <c r="T509" s="3">
        <f t="shared" si="61"/>
        <v>0</v>
      </c>
      <c r="U509" s="44">
        <f>IF(Table1[[#This Row],[Initials]]="RM",$AE$10,IF(Table1[[#This Row],[Initials]]="JPH",$AE$11,IF(Table1[[#This Row],[Initials]]="IE",$AE$13,IF(Table1[[#This Row],[Initials]]="JM",$AE$14,1))))</f>
        <v>0.5</v>
      </c>
      <c r="V509" s="3">
        <f>Table1[[#This Row],[FTE %]]*Table1[[#This Row],[Time Worked]]</f>
        <v>0.75</v>
      </c>
      <c r="W50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09" s="38">
        <f t="shared" si="62"/>
        <v>92.894999999999996</v>
      </c>
      <c r="Y509" s="18">
        <f t="shared" si="63"/>
        <v>0</v>
      </c>
    </row>
    <row r="510" spans="1:25" x14ac:dyDescent="0.25">
      <c r="A510" s="10">
        <f t="shared" si="66"/>
        <v>509</v>
      </c>
      <c r="B510" s="6" t="str">
        <f t="shared" si="57"/>
        <v>9620192641JPH</v>
      </c>
      <c r="C510" s="1" t="s">
        <v>967</v>
      </c>
      <c r="D510" s="1" t="s">
        <v>996</v>
      </c>
      <c r="E510" s="53" t="str">
        <f t="shared" si="58"/>
        <v>Unbilled</v>
      </c>
      <c r="F510" s="1">
        <v>2641</v>
      </c>
      <c r="G510" s="37" t="str">
        <f>VLOOKUP(Table1[[#This Row],[WO'#]],Table2[#All],2,FALSE)</f>
        <v>Meetings (P&amp;M) FY20</v>
      </c>
      <c r="H510" s="20" t="s">
        <v>996</v>
      </c>
      <c r="I510" s="2">
        <v>43714</v>
      </c>
      <c r="J510" s="4">
        <f t="shared" si="59"/>
        <v>6</v>
      </c>
      <c r="K510" s="3">
        <v>0</v>
      </c>
      <c r="L510" s="3">
        <v>0</v>
      </c>
      <c r="M510" s="3">
        <v>0</v>
      </c>
      <c r="N510" s="3">
        <v>0</v>
      </c>
      <c r="O510" s="3">
        <v>0</v>
      </c>
      <c r="P510" s="3">
        <v>4.25</v>
      </c>
      <c r="Q510" s="3">
        <f t="shared" si="60"/>
        <v>4.25</v>
      </c>
      <c r="R510" s="1" t="s">
        <v>970</v>
      </c>
      <c r="S510" s="1" t="s">
        <v>23</v>
      </c>
      <c r="T510" s="3">
        <f t="shared" si="61"/>
        <v>0</v>
      </c>
      <c r="U510" s="44">
        <f>IF(Table1[[#This Row],[Initials]]="RM",$AE$10,IF(Table1[[#This Row],[Initials]]="JPH",$AE$11,IF(Table1[[#This Row],[Initials]]="IE",$AE$13,IF(Table1[[#This Row],[Initials]]="JM",$AE$14,1))))</f>
        <v>0.53</v>
      </c>
      <c r="V510" s="3">
        <f>Table1[[#This Row],[FTE %]]*Table1[[#This Row],[Time Worked]]</f>
        <v>2.2524999999999999</v>
      </c>
      <c r="W51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263.20249999999999</v>
      </c>
      <c r="X510" s="38">
        <f t="shared" si="62"/>
        <v>263.20249999999999</v>
      </c>
      <c r="Y510" s="18">
        <f t="shared" si="63"/>
        <v>0</v>
      </c>
    </row>
    <row r="511" spans="1:25" x14ac:dyDescent="0.25">
      <c r="A511" s="10">
        <f t="shared" si="66"/>
        <v>510</v>
      </c>
      <c r="B511" s="6" t="str">
        <f t="shared" si="57"/>
        <v>9620192641RM</v>
      </c>
      <c r="C511" s="1" t="s">
        <v>967</v>
      </c>
      <c r="D511" s="1" t="s">
        <v>996</v>
      </c>
      <c r="E511" s="53" t="str">
        <f t="shared" si="58"/>
        <v>Unbilled</v>
      </c>
      <c r="F511" s="1">
        <v>2641</v>
      </c>
      <c r="G511" s="37" t="str">
        <f>VLOOKUP(Table1[[#This Row],[WO'#]],Table2[#All],2,FALSE)</f>
        <v>Meetings (P&amp;M) FY20</v>
      </c>
      <c r="H511" s="20" t="s">
        <v>996</v>
      </c>
      <c r="I511" s="2">
        <v>43714</v>
      </c>
      <c r="J511" s="4">
        <f t="shared" si="59"/>
        <v>6</v>
      </c>
      <c r="K511" s="3">
        <v>0</v>
      </c>
      <c r="L511" s="3">
        <v>0</v>
      </c>
      <c r="M511" s="3">
        <v>0</v>
      </c>
      <c r="N511" s="3">
        <v>0</v>
      </c>
      <c r="O511" s="3">
        <v>0</v>
      </c>
      <c r="P511" s="3">
        <v>8</v>
      </c>
      <c r="Q511" s="3">
        <f t="shared" si="60"/>
        <v>8</v>
      </c>
      <c r="R511" s="1" t="s">
        <v>17</v>
      </c>
      <c r="S511" s="1" t="s">
        <v>23</v>
      </c>
      <c r="T511" s="3">
        <f t="shared" si="61"/>
        <v>0</v>
      </c>
      <c r="U511" s="44">
        <f>IF(Table1[[#This Row],[Initials]]="RM",$AE$10,IF(Table1[[#This Row],[Initials]]="JPH",$AE$11,IF(Table1[[#This Row],[Initials]]="IE",$AE$13,IF(Table1[[#This Row],[Initials]]="JM",$AE$14,1))))</f>
        <v>0.5</v>
      </c>
      <c r="V511" s="3">
        <f>Table1[[#This Row],[FTE %]]*Table1[[#This Row],[Time Worked]]</f>
        <v>4</v>
      </c>
      <c r="W51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495.44</v>
      </c>
      <c r="X511" s="38">
        <f t="shared" si="62"/>
        <v>495.44</v>
      </c>
      <c r="Y511" s="18">
        <f t="shared" si="63"/>
        <v>0</v>
      </c>
    </row>
    <row r="512" spans="1:25" x14ac:dyDescent="0.25">
      <c r="A512" s="10">
        <f t="shared" si="66"/>
        <v>511</v>
      </c>
      <c r="B512" s="6" t="str">
        <f t="shared" si="57"/>
        <v>9320192648RM</v>
      </c>
      <c r="C512" s="1" t="s">
        <v>967</v>
      </c>
      <c r="D512" s="1" t="s">
        <v>996</v>
      </c>
      <c r="E512" s="53" t="str">
        <f t="shared" si="58"/>
        <v>Unbilled</v>
      </c>
      <c r="F512" s="1">
        <v>2648</v>
      </c>
      <c r="G512" s="37" t="str">
        <f>VLOOKUP(Table1[[#This Row],[WO'#]],Table2[#All],2,FALSE)</f>
        <v>Outreach Opportunities FY20</v>
      </c>
      <c r="H512" s="20" t="s">
        <v>996</v>
      </c>
      <c r="I512" s="2">
        <v>43711</v>
      </c>
      <c r="J512" s="4">
        <f t="shared" si="59"/>
        <v>3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3">
        <v>1</v>
      </c>
      <c r="Q512" s="3">
        <f t="shared" si="60"/>
        <v>1</v>
      </c>
      <c r="R512" s="1" t="s">
        <v>17</v>
      </c>
      <c r="S512" s="1" t="s">
        <v>23</v>
      </c>
      <c r="T512" s="3">
        <f t="shared" si="61"/>
        <v>0</v>
      </c>
      <c r="U512" s="44">
        <f>IF(Table1[[#This Row],[Initials]]="RM",$AE$10,IF(Table1[[#This Row],[Initials]]="JPH",$AE$11,IF(Table1[[#This Row],[Initials]]="IE",$AE$13,IF(Table1[[#This Row],[Initials]]="JM",$AE$14,1))))</f>
        <v>0.5</v>
      </c>
      <c r="V512" s="3">
        <f>Table1[[#This Row],[FTE %]]*Table1[[#This Row],[Time Worked]]</f>
        <v>0.5</v>
      </c>
      <c r="W51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512" s="38">
        <f t="shared" si="62"/>
        <v>61.93</v>
      </c>
      <c r="Y512" s="18">
        <f t="shared" si="63"/>
        <v>0</v>
      </c>
    </row>
    <row r="513" spans="1:25" x14ac:dyDescent="0.25">
      <c r="A513" s="10">
        <f t="shared" si="66"/>
        <v>512</v>
      </c>
      <c r="B513" s="6" t="str">
        <f t="shared" si="57"/>
        <v>9420192648RM</v>
      </c>
      <c r="C513" s="1" t="s">
        <v>967</v>
      </c>
      <c r="D513" s="1" t="s">
        <v>996</v>
      </c>
      <c r="E513" s="53" t="str">
        <f t="shared" si="58"/>
        <v>Unbilled</v>
      </c>
      <c r="F513" s="1">
        <v>2648</v>
      </c>
      <c r="G513" s="37" t="str">
        <f>VLOOKUP(Table1[[#This Row],[WO'#]],Table2[#All],2,FALSE)</f>
        <v>Outreach Opportunities FY20</v>
      </c>
      <c r="H513" s="20" t="s">
        <v>996</v>
      </c>
      <c r="I513" s="2">
        <v>43712</v>
      </c>
      <c r="J513" s="4">
        <f t="shared" si="59"/>
        <v>4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1.5</v>
      </c>
      <c r="Q513" s="3">
        <f t="shared" si="60"/>
        <v>1.5</v>
      </c>
      <c r="R513" s="1" t="s">
        <v>17</v>
      </c>
      <c r="S513" s="1" t="s">
        <v>23</v>
      </c>
      <c r="T513" s="3">
        <f t="shared" si="61"/>
        <v>0</v>
      </c>
      <c r="U513" s="44">
        <f>IF(Table1[[#This Row],[Initials]]="RM",$AE$10,IF(Table1[[#This Row],[Initials]]="JPH",$AE$11,IF(Table1[[#This Row],[Initials]]="IE",$AE$13,IF(Table1[[#This Row],[Initials]]="JM",$AE$14,1))))</f>
        <v>0.5</v>
      </c>
      <c r="V513" s="3">
        <f>Table1[[#This Row],[FTE %]]*Table1[[#This Row],[Time Worked]]</f>
        <v>0.75</v>
      </c>
      <c r="W51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13" s="38">
        <f t="shared" si="62"/>
        <v>92.894999999999996</v>
      </c>
      <c r="Y513" s="18">
        <f t="shared" si="63"/>
        <v>0</v>
      </c>
    </row>
    <row r="514" spans="1:25" x14ac:dyDescent="0.25">
      <c r="A514" s="10">
        <f t="shared" si="66"/>
        <v>513</v>
      </c>
      <c r="B514" s="6" t="str">
        <f t="shared" ref="B514:B550" si="67">IF(I514="","",CONCATENATE(MONTH(I514),DAY(I514),YEAR(I514),F514,R514))</f>
        <v>9520192648RM</v>
      </c>
      <c r="C514" s="1" t="s">
        <v>967</v>
      </c>
      <c r="D514" s="1" t="s">
        <v>996</v>
      </c>
      <c r="E514" s="53" t="str">
        <f t="shared" ref="E514:E550" si="68">IF(ISNUMBER(FIND("GR",D514)),"External",IF(C514="NB","Unbilled",IF(AND(C514="Admin",F514=2642),"Annual",IF(AND(C514="Admin",F514=2643),"Comp",IF(AND(C514="Admin",F514=2640),"FMLA",IF(AND(C514="Admin",F514=2644),"Holiday",IF(AND(C514="Admin",F514=2646),"Sick",IF(AND(C514="Admin",F514=2645),"LWOP",IF(C514="Match","Match",IF(C514="WO","Write Off","Internal"))))))))))</f>
        <v>Unbilled</v>
      </c>
      <c r="F514" s="1">
        <v>2648</v>
      </c>
      <c r="G514" s="37" t="str">
        <f>VLOOKUP(Table1[[#This Row],[WO'#]],Table2[#All],2,FALSE)</f>
        <v>Outreach Opportunities FY20</v>
      </c>
      <c r="H514" s="20" t="s">
        <v>996</v>
      </c>
      <c r="I514" s="2">
        <v>43713</v>
      </c>
      <c r="J514" s="4">
        <f t="shared" ref="J514:J550" si="69">IF(I514="","",DAY(I514))</f>
        <v>5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3">
        <v>3</v>
      </c>
      <c r="Q514" s="3">
        <f t="shared" ref="Q514:Q550" si="70">SUM(K514:P514)</f>
        <v>3</v>
      </c>
      <c r="R514" s="1" t="s">
        <v>17</v>
      </c>
      <c r="S514" s="1" t="s">
        <v>23</v>
      </c>
      <c r="T514" s="3">
        <f t="shared" ref="T514:T550" si="71">IF(R514="","",IF(OR(C514="WO",C514="Match",C514="NB",C514="Admin"),0,SUM(K514:P514)))</f>
        <v>0</v>
      </c>
      <c r="U514" s="44">
        <f>IF(Table1[[#This Row],[Initials]]="RM",$AE$10,IF(Table1[[#This Row],[Initials]]="JPH",$AE$11,IF(Table1[[#This Row],[Initials]]="IE",$AE$13,IF(Table1[[#This Row],[Initials]]="JM",$AE$14,1))))</f>
        <v>0.5</v>
      </c>
      <c r="V514" s="3">
        <f>Table1[[#This Row],[FTE %]]*Table1[[#This Row],[Time Worked]]</f>
        <v>1.5</v>
      </c>
      <c r="W51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514" s="38">
        <f t="shared" ref="X514:X550" si="72">IF(R514="","",IF(OR(C514="Match",C514="Write Off",C514&lt;&gt;"NB",C514="Admin"),0,IF(OR(R514="BOGD",R514="BOGC",R514="BLGDB",R514="BLGCR"),IF(AND(I514&gt;=$AE$3,I514&lt;=$AF$3),P514*$AD$3,IF(AND(I514&gt;=$AE$4,I514&lt;=$AF$4),P514*$AD$4,IF(AND(I514&gt;=$AE$5,I514&lt;=$AF$5),P514*$AD$5,IF(AND(I514&gt;=$AE$6,I514&lt;=$AF$6),P514*$AD$6,P514*$AD$7)))),IF(AND(I514&gt;=$AE$3,I514&lt;=$AF$3),Q514*$AD$3,IF(AND(I514&gt;=$AE$4,I514&lt;=$AF$4),Q514*$AD$4,IF(AND(I514&gt;=$AE$5,I514&lt;=$AF$5),Q514*$AD$5,IF(AND(I514&gt;=$AE$6,I514&lt;=$AF$6),Q514*$AD$6,Q514*$AD$7)))))))</f>
        <v>185.79</v>
      </c>
      <c r="Y514" s="18">
        <f t="shared" ref="Y514:Y550" si="73">IF(R514="","",IF(OR(C514="Match",C514="WO",C514="NB",C514="Admin"),0,IF(OR(R514="BOGD",R514="BOGC",R514="BLGDB",R514="BLGCR"),IF(AND(I514&gt;=$AE$3,I514&lt;=$AF$3),P514*$AD$3,IF(AND(I514&gt;=$AE$4,I514&lt;=$AF$4),P514*$AD$4,IF(AND(I514&gt;=$AE$5,I514&lt;=$AF$5),P514*$AD$5,IF(AND(I514&gt;=$AE$6,I514&lt;=$AF$6),P514*$AD$6,P514*$AD$7)))),IF(AND(I514&gt;=$AE$3,I514&lt;=$AF$3),Q514*$AD$3,IF(AND(I514&gt;=$AE$4,I514&lt;=$AF$4),Q514*$AD$4,IF(AND(I514&gt;=$AE$5,I514&lt;=$AF$5),Q514*$AD$5,IF(AND(I514&gt;=$AE$6,I514&lt;=$AF$6),Q514*$AD$6,Q514*$AD$7)))))))</f>
        <v>0</v>
      </c>
    </row>
    <row r="515" spans="1:25" x14ac:dyDescent="0.25">
      <c r="A515" s="10">
        <f t="shared" si="66"/>
        <v>514</v>
      </c>
      <c r="B515" s="6" t="str">
        <f t="shared" si="67"/>
        <v>91020192648RM</v>
      </c>
      <c r="C515" s="1" t="s">
        <v>967</v>
      </c>
      <c r="D515" s="1" t="s">
        <v>996</v>
      </c>
      <c r="E515" s="53" t="str">
        <f t="shared" si="68"/>
        <v>Unbilled</v>
      </c>
      <c r="F515" s="1">
        <v>2648</v>
      </c>
      <c r="G515" s="37" t="str">
        <f>VLOOKUP(Table1[[#This Row],[WO'#]],Table2[#All],2,FALSE)</f>
        <v>Outreach Opportunities FY20</v>
      </c>
      <c r="H515" s="20" t="s">
        <v>996</v>
      </c>
      <c r="I515" s="2">
        <v>43718</v>
      </c>
      <c r="J515" s="4">
        <f t="shared" si="69"/>
        <v>10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3</v>
      </c>
      <c r="Q515" s="3">
        <f t="shared" si="70"/>
        <v>3</v>
      </c>
      <c r="R515" s="1" t="s">
        <v>17</v>
      </c>
      <c r="S515" s="1" t="s">
        <v>23</v>
      </c>
      <c r="T515" s="3">
        <f t="shared" si="71"/>
        <v>0</v>
      </c>
      <c r="U515" s="44">
        <f>IF(Table1[[#This Row],[Initials]]="RM",$AE$10,IF(Table1[[#This Row],[Initials]]="JPH",$AE$11,IF(Table1[[#This Row],[Initials]]="IE",$AE$13,IF(Table1[[#This Row],[Initials]]="JM",$AE$14,1))))</f>
        <v>0.5</v>
      </c>
      <c r="V515" s="3">
        <f>Table1[[#This Row],[FTE %]]*Table1[[#This Row],[Time Worked]]</f>
        <v>1.5</v>
      </c>
      <c r="W51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185.79</v>
      </c>
      <c r="X515" s="38">
        <f t="shared" si="72"/>
        <v>185.79</v>
      </c>
      <c r="Y515" s="18">
        <f t="shared" si="73"/>
        <v>0</v>
      </c>
    </row>
    <row r="516" spans="1:25" x14ac:dyDescent="0.25">
      <c r="A516" s="10">
        <f t="shared" si="66"/>
        <v>515</v>
      </c>
      <c r="B516" s="6" t="str">
        <f t="shared" si="67"/>
        <v>81420192651IE</v>
      </c>
      <c r="C516" s="1" t="s">
        <v>967</v>
      </c>
      <c r="D516" s="1" t="s">
        <v>996</v>
      </c>
      <c r="E516" s="53" t="str">
        <f t="shared" si="68"/>
        <v>Unbilled</v>
      </c>
      <c r="F516" s="1">
        <v>2651</v>
      </c>
      <c r="G516" s="37" t="str">
        <f>VLOOKUP(Table1[[#This Row],[WO'#]],Table2[#All],2,FALSE)</f>
        <v>Petrified Springs Fault Geologic Map</v>
      </c>
      <c r="H516" s="20" t="s">
        <v>996</v>
      </c>
      <c r="I516" s="2">
        <v>43691</v>
      </c>
      <c r="J516" s="4">
        <f t="shared" si="69"/>
        <v>14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0.25</v>
      </c>
      <c r="Q516" s="3">
        <f t="shared" si="70"/>
        <v>0.25</v>
      </c>
      <c r="R516" s="1" t="s">
        <v>971</v>
      </c>
      <c r="S516" s="1" t="s">
        <v>23</v>
      </c>
      <c r="T516" s="3">
        <f t="shared" si="71"/>
        <v>0</v>
      </c>
      <c r="U516" s="44">
        <f>IF(Table1[[#This Row],[Initials]]="RM",$AE$10,IF(Table1[[#This Row],[Initials]]="JPH",$AE$11,IF(Table1[[#This Row],[Initials]]="IE",$AE$13,IF(Table1[[#This Row],[Initials]]="JM",$AE$14,1))))</f>
        <v>1</v>
      </c>
      <c r="V516" s="3">
        <f>Table1[[#This Row],[FTE %]]*Table1[[#This Row],[Time Worked]]</f>
        <v>0.25</v>
      </c>
      <c r="W51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516" s="38">
        <f t="shared" si="72"/>
        <v>15.4825</v>
      </c>
      <c r="Y516" s="18">
        <f t="shared" si="73"/>
        <v>0</v>
      </c>
    </row>
    <row r="517" spans="1:25" x14ac:dyDescent="0.25">
      <c r="A517" s="10">
        <f t="shared" si="66"/>
        <v>516</v>
      </c>
      <c r="B517" s="6" t="str">
        <f t="shared" si="67"/>
        <v>9420192651IE</v>
      </c>
      <c r="C517" s="1" t="s">
        <v>967</v>
      </c>
      <c r="D517" s="1" t="s">
        <v>996</v>
      </c>
      <c r="E517" s="53" t="str">
        <f t="shared" si="68"/>
        <v>Unbilled</v>
      </c>
      <c r="F517" s="1">
        <v>2651</v>
      </c>
      <c r="G517" s="37" t="str">
        <f>VLOOKUP(Table1[[#This Row],[WO'#]],Table2[#All],2,FALSE)</f>
        <v>Petrified Springs Fault Geologic Map</v>
      </c>
      <c r="H517" s="20" t="s">
        <v>996</v>
      </c>
      <c r="I517" s="2">
        <v>43712</v>
      </c>
      <c r="J517" s="4">
        <f t="shared" si="69"/>
        <v>4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0.5</v>
      </c>
      <c r="Q517" s="3">
        <f t="shared" si="70"/>
        <v>0.5</v>
      </c>
      <c r="R517" s="1" t="s">
        <v>971</v>
      </c>
      <c r="S517" s="1" t="s">
        <v>23</v>
      </c>
      <c r="T517" s="3">
        <f t="shared" si="71"/>
        <v>0</v>
      </c>
      <c r="U517" s="44">
        <f>IF(Table1[[#This Row],[Initials]]="RM",$AE$10,IF(Table1[[#This Row],[Initials]]="JPH",$AE$11,IF(Table1[[#This Row],[Initials]]="IE",$AE$13,IF(Table1[[#This Row],[Initials]]="JM",$AE$14,1))))</f>
        <v>1</v>
      </c>
      <c r="V517" s="3">
        <f>Table1[[#This Row],[FTE %]]*Table1[[#This Row],[Time Worked]]</f>
        <v>0.5</v>
      </c>
      <c r="W51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517" s="38">
        <f t="shared" si="72"/>
        <v>30.965</v>
      </c>
      <c r="Y517" s="18">
        <f t="shared" si="73"/>
        <v>0</v>
      </c>
    </row>
    <row r="518" spans="1:25" x14ac:dyDescent="0.25">
      <c r="A518" s="10">
        <f t="shared" si="66"/>
        <v>517</v>
      </c>
      <c r="B518" s="6" t="str">
        <f t="shared" si="67"/>
        <v>82720192652JPH</v>
      </c>
      <c r="C518" s="1" t="s">
        <v>967</v>
      </c>
      <c r="D518" s="1" t="s">
        <v>996</v>
      </c>
      <c r="E518" s="53" t="str">
        <f t="shared" si="68"/>
        <v>Unbilled</v>
      </c>
      <c r="F518" s="1">
        <v>2652</v>
      </c>
      <c r="G518" s="37" t="str">
        <f>VLOOKUP(Table1[[#This Row],[WO'#]],Table2[#All],2,FALSE)</f>
        <v>Major Mines 2018</v>
      </c>
      <c r="H518" s="20" t="s">
        <v>996</v>
      </c>
      <c r="I518" s="2">
        <v>43704</v>
      </c>
      <c r="J518" s="4">
        <f t="shared" si="69"/>
        <v>27</v>
      </c>
      <c r="K518" s="3">
        <v>0</v>
      </c>
      <c r="L518" s="3">
        <v>0</v>
      </c>
      <c r="M518" s="3">
        <v>0</v>
      </c>
      <c r="N518" s="3">
        <v>0</v>
      </c>
      <c r="O518" s="3">
        <v>0</v>
      </c>
      <c r="P518" s="3">
        <v>3.25</v>
      </c>
      <c r="Q518" s="3">
        <f t="shared" si="70"/>
        <v>3.25</v>
      </c>
      <c r="R518" s="1" t="s">
        <v>970</v>
      </c>
      <c r="S518" s="1" t="s">
        <v>23</v>
      </c>
      <c r="T518" s="3">
        <f t="shared" si="71"/>
        <v>0</v>
      </c>
      <c r="U518" s="44">
        <f>IF(Table1[[#This Row],[Initials]]="RM",$AE$10,IF(Table1[[#This Row],[Initials]]="JPH",$AE$11,IF(Table1[[#This Row],[Initials]]="IE",$AE$13,IF(Table1[[#This Row],[Initials]]="JM",$AE$14,1))))</f>
        <v>0.53</v>
      </c>
      <c r="V518" s="3">
        <f>Table1[[#This Row],[FTE %]]*Table1[[#This Row],[Time Worked]]</f>
        <v>1.7225000000000001</v>
      </c>
      <c r="W51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518" s="38">
        <f t="shared" si="72"/>
        <v>201.27250000000001</v>
      </c>
      <c r="Y518" s="18">
        <f t="shared" si="73"/>
        <v>0</v>
      </c>
    </row>
    <row r="519" spans="1:25" x14ac:dyDescent="0.25">
      <c r="A519" s="10">
        <f t="shared" si="66"/>
        <v>518</v>
      </c>
      <c r="B519" s="6" t="str">
        <f t="shared" si="67"/>
        <v>82820192652JPH</v>
      </c>
      <c r="C519" s="1" t="s">
        <v>967</v>
      </c>
      <c r="D519" s="1" t="s">
        <v>996</v>
      </c>
      <c r="E519" s="53" t="str">
        <f t="shared" si="68"/>
        <v>Unbilled</v>
      </c>
      <c r="F519" s="1">
        <v>2652</v>
      </c>
      <c r="G519" s="37" t="str">
        <f>VLOOKUP(Table1[[#This Row],[WO'#]],Table2[#All],2,FALSE)</f>
        <v>Major Mines 2018</v>
      </c>
      <c r="H519" s="20" t="s">
        <v>996</v>
      </c>
      <c r="I519" s="2">
        <v>43705</v>
      </c>
      <c r="J519" s="4">
        <f t="shared" si="69"/>
        <v>28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0.5</v>
      </c>
      <c r="Q519" s="3">
        <f t="shared" si="70"/>
        <v>0.5</v>
      </c>
      <c r="R519" s="1" t="s">
        <v>970</v>
      </c>
      <c r="S519" s="1" t="s">
        <v>23</v>
      </c>
      <c r="T519" s="3">
        <f t="shared" si="71"/>
        <v>0</v>
      </c>
      <c r="U519" s="44">
        <f>IF(Table1[[#This Row],[Initials]]="RM",$AE$10,IF(Table1[[#This Row],[Initials]]="JPH",$AE$11,IF(Table1[[#This Row],[Initials]]="IE",$AE$13,IF(Table1[[#This Row],[Initials]]="JM",$AE$14,1))))</f>
        <v>0.53</v>
      </c>
      <c r="V519" s="3">
        <f>Table1[[#This Row],[FTE %]]*Table1[[#This Row],[Time Worked]]</f>
        <v>0.26500000000000001</v>
      </c>
      <c r="W51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519" s="38">
        <f t="shared" si="72"/>
        <v>30.965</v>
      </c>
      <c r="Y519" s="18">
        <f t="shared" si="73"/>
        <v>0</v>
      </c>
    </row>
    <row r="520" spans="1:25" x14ac:dyDescent="0.25">
      <c r="A520" s="10">
        <f t="shared" si="66"/>
        <v>519</v>
      </c>
      <c r="B520" s="6" t="str">
        <f t="shared" si="67"/>
        <v>83020192652JPH</v>
      </c>
      <c r="C520" s="1" t="s">
        <v>967</v>
      </c>
      <c r="D520" s="1" t="s">
        <v>996</v>
      </c>
      <c r="E520" s="53" t="str">
        <f t="shared" si="68"/>
        <v>Unbilled</v>
      </c>
      <c r="F520" s="1">
        <v>2652</v>
      </c>
      <c r="G520" s="37" t="str">
        <f>VLOOKUP(Table1[[#This Row],[WO'#]],Table2[#All],2,FALSE)</f>
        <v>Major Mines 2018</v>
      </c>
      <c r="H520" s="20" t="s">
        <v>996</v>
      </c>
      <c r="I520" s="2">
        <v>43707</v>
      </c>
      <c r="J520" s="4">
        <f t="shared" si="69"/>
        <v>30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2.25</v>
      </c>
      <c r="Q520" s="3">
        <f t="shared" si="70"/>
        <v>2.25</v>
      </c>
      <c r="R520" s="1" t="s">
        <v>970</v>
      </c>
      <c r="S520" s="1" t="s">
        <v>23</v>
      </c>
      <c r="T520" s="3">
        <f t="shared" si="71"/>
        <v>0</v>
      </c>
      <c r="U520" s="44">
        <f>IF(Table1[[#This Row],[Initials]]="RM",$AE$10,IF(Table1[[#This Row],[Initials]]="JPH",$AE$11,IF(Table1[[#This Row],[Initials]]="IE",$AE$13,IF(Table1[[#This Row],[Initials]]="JM",$AE$14,1))))</f>
        <v>0.53</v>
      </c>
      <c r="V520" s="3">
        <f>Table1[[#This Row],[FTE %]]*Table1[[#This Row],[Time Worked]]</f>
        <v>1.1925000000000001</v>
      </c>
      <c r="W52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139.3425</v>
      </c>
      <c r="X520" s="38">
        <f t="shared" si="72"/>
        <v>139.3425</v>
      </c>
      <c r="Y520" s="18">
        <f t="shared" si="73"/>
        <v>0</v>
      </c>
    </row>
    <row r="521" spans="1:25" x14ac:dyDescent="0.25">
      <c r="A521" s="10">
        <f t="shared" ref="A521:A531" si="74">IF(IFERROR(A520+1,1)=1,1,A520+1)</f>
        <v>520</v>
      </c>
      <c r="B521" s="6" t="str">
        <f t="shared" si="67"/>
        <v>9420192652JPH</v>
      </c>
      <c r="C521" s="1" t="s">
        <v>967</v>
      </c>
      <c r="D521" s="1" t="s">
        <v>996</v>
      </c>
      <c r="E521" s="53" t="str">
        <f t="shared" si="68"/>
        <v>Unbilled</v>
      </c>
      <c r="F521" s="1">
        <v>2652</v>
      </c>
      <c r="G521" s="37" t="str">
        <f>VLOOKUP(Table1[[#This Row],[WO'#]],Table2[#All],2,FALSE)</f>
        <v>Major Mines 2018</v>
      </c>
      <c r="H521" s="20" t="s">
        <v>996</v>
      </c>
      <c r="I521" s="2">
        <v>43712</v>
      </c>
      <c r="J521" s="4">
        <f t="shared" si="69"/>
        <v>4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3.25</v>
      </c>
      <c r="Q521" s="3">
        <f t="shared" si="70"/>
        <v>3.25</v>
      </c>
      <c r="R521" s="1" t="s">
        <v>970</v>
      </c>
      <c r="S521" s="1" t="s">
        <v>23</v>
      </c>
      <c r="T521" s="3">
        <f t="shared" si="71"/>
        <v>0</v>
      </c>
      <c r="U521" s="44">
        <f>IF(Table1[[#This Row],[Initials]]="RM",$AE$10,IF(Table1[[#This Row],[Initials]]="JPH",$AE$11,IF(Table1[[#This Row],[Initials]]="IE",$AE$13,IF(Table1[[#This Row],[Initials]]="JM",$AE$14,1))))</f>
        <v>0.53</v>
      </c>
      <c r="V521" s="3">
        <f>Table1[[#This Row],[FTE %]]*Table1[[#This Row],[Time Worked]]</f>
        <v>1.7225000000000001</v>
      </c>
      <c r="W52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201.27250000000001</v>
      </c>
      <c r="X521" s="38">
        <f t="shared" si="72"/>
        <v>201.27250000000001</v>
      </c>
      <c r="Y521" s="18">
        <f t="shared" si="73"/>
        <v>0</v>
      </c>
    </row>
    <row r="522" spans="1:25" x14ac:dyDescent="0.25">
      <c r="A522" s="10">
        <f t="shared" si="74"/>
        <v>521</v>
      </c>
      <c r="B522" s="6" t="str">
        <f t="shared" si="67"/>
        <v>9520192652JPH</v>
      </c>
      <c r="C522" s="1" t="s">
        <v>967</v>
      </c>
      <c r="D522" s="1" t="s">
        <v>996</v>
      </c>
      <c r="E522" s="53" t="str">
        <f t="shared" si="68"/>
        <v>Unbilled</v>
      </c>
      <c r="F522" s="1">
        <v>2652</v>
      </c>
      <c r="G522" s="37" t="str">
        <f>VLOOKUP(Table1[[#This Row],[WO'#]],Table2[#All],2,FALSE)</f>
        <v>Major Mines 2018</v>
      </c>
      <c r="H522" s="20" t="s">
        <v>996</v>
      </c>
      <c r="I522" s="2">
        <v>43713</v>
      </c>
      <c r="J522" s="4">
        <f t="shared" si="69"/>
        <v>5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1</v>
      </c>
      <c r="Q522" s="3">
        <f t="shared" si="70"/>
        <v>1</v>
      </c>
      <c r="R522" s="1" t="s">
        <v>970</v>
      </c>
      <c r="S522" s="1" t="s">
        <v>23</v>
      </c>
      <c r="T522" s="3">
        <f t="shared" si="71"/>
        <v>0</v>
      </c>
      <c r="U522" s="44">
        <f>IF(Table1[[#This Row],[Initials]]="RM",$AE$10,IF(Table1[[#This Row],[Initials]]="JPH",$AE$11,IF(Table1[[#This Row],[Initials]]="IE",$AE$13,IF(Table1[[#This Row],[Initials]]="JM",$AE$14,1))))</f>
        <v>0.53</v>
      </c>
      <c r="V522" s="3">
        <f>Table1[[#This Row],[FTE %]]*Table1[[#This Row],[Time Worked]]</f>
        <v>0.53</v>
      </c>
      <c r="W52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61.93</v>
      </c>
      <c r="X522" s="38">
        <f t="shared" si="72"/>
        <v>61.93</v>
      </c>
      <c r="Y522" s="18">
        <f t="shared" si="73"/>
        <v>0</v>
      </c>
    </row>
    <row r="523" spans="1:25" x14ac:dyDescent="0.25">
      <c r="A523" s="10">
        <f t="shared" si="74"/>
        <v>522</v>
      </c>
      <c r="B523" s="6" t="str">
        <f t="shared" si="67"/>
        <v>82120192653JM</v>
      </c>
      <c r="C523" s="1" t="s">
        <v>967</v>
      </c>
      <c r="D523" s="1" t="s">
        <v>996</v>
      </c>
      <c r="E523" s="53" t="str">
        <f t="shared" si="68"/>
        <v>Unbilled</v>
      </c>
      <c r="F523" s="1">
        <v>2653</v>
      </c>
      <c r="G523" s="37" t="str">
        <f>VLOOKUP(Table1[[#This Row],[WO'#]],Table2[#All],2,FALSE)</f>
        <v>Accessibility Work</v>
      </c>
      <c r="H523" s="20" t="s">
        <v>996</v>
      </c>
      <c r="I523" s="2">
        <v>43698</v>
      </c>
      <c r="J523" s="4">
        <f t="shared" si="69"/>
        <v>21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3">
        <v>2</v>
      </c>
      <c r="Q523" s="3">
        <f t="shared" si="70"/>
        <v>2</v>
      </c>
      <c r="R523" s="1" t="s">
        <v>972</v>
      </c>
      <c r="S523" s="1" t="s">
        <v>23</v>
      </c>
      <c r="T523" s="3">
        <f t="shared" si="71"/>
        <v>0</v>
      </c>
      <c r="U523" s="44">
        <f>IF(Table1[[#This Row],[Initials]]="RM",$AE$10,IF(Table1[[#This Row],[Initials]]="JPH",$AE$11,IF(Table1[[#This Row],[Initials]]="IE",$AE$13,IF(Table1[[#This Row],[Initials]]="JM",$AE$14,1))))</f>
        <v>0.39500000000000002</v>
      </c>
      <c r="V523" s="3">
        <f>Table1[[#This Row],[FTE %]]*Table1[[#This Row],[Time Worked]]</f>
        <v>0.79</v>
      </c>
      <c r="W52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523" s="38">
        <f t="shared" si="72"/>
        <v>123.86</v>
      </c>
      <c r="Y523" s="18">
        <f t="shared" si="73"/>
        <v>0</v>
      </c>
    </row>
    <row r="524" spans="1:25" x14ac:dyDescent="0.25">
      <c r="A524" s="10">
        <f t="shared" si="74"/>
        <v>523</v>
      </c>
      <c r="B524" s="6" t="str">
        <f t="shared" si="67"/>
        <v>82120192653RM</v>
      </c>
      <c r="C524" s="1" t="s">
        <v>967</v>
      </c>
      <c r="D524" s="1" t="s">
        <v>996</v>
      </c>
      <c r="E524" s="53" t="str">
        <f t="shared" si="68"/>
        <v>Unbilled</v>
      </c>
      <c r="F524" s="1">
        <v>2653</v>
      </c>
      <c r="G524" s="37" t="str">
        <f>VLOOKUP(Table1[[#This Row],[WO'#]],Table2[#All],2,FALSE)</f>
        <v>Accessibility Work</v>
      </c>
      <c r="H524" s="20" t="s">
        <v>996</v>
      </c>
      <c r="I524" s="2">
        <v>43698</v>
      </c>
      <c r="J524" s="4">
        <f t="shared" si="69"/>
        <v>21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3">
        <v>4</v>
      </c>
      <c r="Q524" s="3">
        <f t="shared" si="70"/>
        <v>4</v>
      </c>
      <c r="R524" s="1" t="s">
        <v>17</v>
      </c>
      <c r="S524" s="1" t="s">
        <v>23</v>
      </c>
      <c r="T524" s="3">
        <f t="shared" si="71"/>
        <v>0</v>
      </c>
      <c r="U524" s="44">
        <f>IF(Table1[[#This Row],[Initials]]="RM",$AE$10,IF(Table1[[#This Row],[Initials]]="JPH",$AE$11,IF(Table1[[#This Row],[Initials]]="IE",$AE$13,IF(Table1[[#This Row],[Initials]]="JM",$AE$14,1))))</f>
        <v>0.5</v>
      </c>
      <c r="V524" s="3">
        <f>Table1[[#This Row],[FTE %]]*Table1[[#This Row],[Time Worked]]</f>
        <v>2</v>
      </c>
      <c r="W52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524" s="38">
        <f t="shared" si="72"/>
        <v>247.72</v>
      </c>
      <c r="Y524" s="18">
        <f t="shared" si="73"/>
        <v>0</v>
      </c>
    </row>
    <row r="525" spans="1:25" x14ac:dyDescent="0.25">
      <c r="A525" s="10">
        <f t="shared" si="74"/>
        <v>524</v>
      </c>
      <c r="B525" s="6" t="str">
        <f t="shared" si="67"/>
        <v>82220192653JM</v>
      </c>
      <c r="C525" s="1" t="s">
        <v>967</v>
      </c>
      <c r="D525" s="1" t="s">
        <v>996</v>
      </c>
      <c r="E525" s="53" t="str">
        <f t="shared" si="68"/>
        <v>Unbilled</v>
      </c>
      <c r="F525" s="1">
        <v>2653</v>
      </c>
      <c r="G525" s="37" t="str">
        <f>VLOOKUP(Table1[[#This Row],[WO'#]],Table2[#All],2,FALSE)</f>
        <v>Accessibility Work</v>
      </c>
      <c r="H525" s="20" t="s">
        <v>996</v>
      </c>
      <c r="I525" s="2">
        <v>43699</v>
      </c>
      <c r="J525" s="4">
        <f t="shared" si="69"/>
        <v>22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3">
        <v>11.25</v>
      </c>
      <c r="Q525" s="3">
        <f t="shared" si="70"/>
        <v>11.25</v>
      </c>
      <c r="R525" s="1" t="s">
        <v>972</v>
      </c>
      <c r="S525" s="1" t="s">
        <v>23</v>
      </c>
      <c r="T525" s="3">
        <f t="shared" si="71"/>
        <v>0</v>
      </c>
      <c r="U525" s="44">
        <f>IF(Table1[[#This Row],[Initials]]="RM",$AE$10,IF(Table1[[#This Row],[Initials]]="JPH",$AE$11,IF(Table1[[#This Row],[Initials]]="IE",$AE$13,IF(Table1[[#This Row],[Initials]]="JM",$AE$14,1))))</f>
        <v>0.39500000000000002</v>
      </c>
      <c r="V525" s="3">
        <f>Table1[[#This Row],[FTE %]]*Table1[[#This Row],[Time Worked]]</f>
        <v>4.4437500000000005</v>
      </c>
      <c r="W52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696.71249999999998</v>
      </c>
      <c r="X525" s="38">
        <f t="shared" si="72"/>
        <v>696.71249999999998</v>
      </c>
      <c r="Y525" s="18">
        <f t="shared" si="73"/>
        <v>0</v>
      </c>
    </row>
    <row r="526" spans="1:25" x14ac:dyDescent="0.25">
      <c r="A526" s="10">
        <f t="shared" si="74"/>
        <v>525</v>
      </c>
      <c r="B526" s="6" t="str">
        <f t="shared" si="67"/>
        <v>82220192653RM</v>
      </c>
      <c r="C526" s="1" t="s">
        <v>967</v>
      </c>
      <c r="D526" s="1" t="s">
        <v>996</v>
      </c>
      <c r="E526" s="53" t="str">
        <f t="shared" si="68"/>
        <v>Unbilled</v>
      </c>
      <c r="F526" s="1">
        <v>2653</v>
      </c>
      <c r="G526" s="37" t="str">
        <f>VLOOKUP(Table1[[#This Row],[WO'#]],Table2[#All],2,FALSE)</f>
        <v>Accessibility Work</v>
      </c>
      <c r="H526" s="20" t="s">
        <v>996</v>
      </c>
      <c r="I526" s="2">
        <v>43699</v>
      </c>
      <c r="J526" s="4">
        <f t="shared" si="69"/>
        <v>22</v>
      </c>
      <c r="K526" s="3">
        <v>0</v>
      </c>
      <c r="L526" s="3">
        <v>0</v>
      </c>
      <c r="M526" s="3">
        <v>0</v>
      </c>
      <c r="N526" s="3">
        <v>0</v>
      </c>
      <c r="O526" s="3">
        <v>0</v>
      </c>
      <c r="P526" s="3">
        <v>9</v>
      </c>
      <c r="Q526" s="3">
        <f t="shared" si="70"/>
        <v>9</v>
      </c>
      <c r="R526" s="1" t="s">
        <v>17</v>
      </c>
      <c r="S526" s="1" t="s">
        <v>23</v>
      </c>
      <c r="T526" s="3">
        <f t="shared" si="71"/>
        <v>0</v>
      </c>
      <c r="U526" s="44">
        <f>IF(Table1[[#This Row],[Initials]]="RM",$AE$10,IF(Table1[[#This Row],[Initials]]="JPH",$AE$11,IF(Table1[[#This Row],[Initials]]="IE",$AE$13,IF(Table1[[#This Row],[Initials]]="JM",$AE$14,1))))</f>
        <v>0.5</v>
      </c>
      <c r="V526" s="3">
        <f>Table1[[#This Row],[FTE %]]*Table1[[#This Row],[Time Worked]]</f>
        <v>4.5</v>
      </c>
      <c r="W52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526" s="38">
        <f t="shared" si="72"/>
        <v>557.37</v>
      </c>
      <c r="Y526" s="18">
        <f t="shared" si="73"/>
        <v>0</v>
      </c>
    </row>
    <row r="527" spans="1:25" x14ac:dyDescent="0.25">
      <c r="A527" s="10">
        <f t="shared" si="74"/>
        <v>526</v>
      </c>
      <c r="B527" s="6" t="str">
        <f t="shared" si="67"/>
        <v>82520192653JM</v>
      </c>
      <c r="C527" s="1" t="s">
        <v>967</v>
      </c>
      <c r="D527" s="1" t="s">
        <v>996</v>
      </c>
      <c r="E527" s="53" t="str">
        <f t="shared" si="68"/>
        <v>Unbilled</v>
      </c>
      <c r="F527" s="1">
        <v>2653</v>
      </c>
      <c r="G527" s="37" t="str">
        <f>VLOOKUP(Table1[[#This Row],[WO'#]],Table2[#All],2,FALSE)</f>
        <v>Accessibility Work</v>
      </c>
      <c r="H527" s="20" t="s">
        <v>996</v>
      </c>
      <c r="I527" s="2">
        <v>43702</v>
      </c>
      <c r="J527" s="4">
        <f t="shared" si="69"/>
        <v>25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0.25</v>
      </c>
      <c r="Q527" s="3">
        <f t="shared" si="70"/>
        <v>0.25</v>
      </c>
      <c r="R527" s="1" t="s">
        <v>972</v>
      </c>
      <c r="S527" s="1" t="s">
        <v>23</v>
      </c>
      <c r="T527" s="3">
        <f t="shared" si="71"/>
        <v>0</v>
      </c>
      <c r="U527" s="44">
        <f>IF(Table1[[#This Row],[Initials]]="RM",$AE$10,IF(Table1[[#This Row],[Initials]]="JPH",$AE$11,IF(Table1[[#This Row],[Initials]]="IE",$AE$13,IF(Table1[[#This Row],[Initials]]="JM",$AE$14,1))))</f>
        <v>0.39500000000000002</v>
      </c>
      <c r="V527" s="3">
        <f>Table1[[#This Row],[FTE %]]*Table1[[#This Row],[Time Worked]]</f>
        <v>9.8750000000000004E-2</v>
      </c>
      <c r="W52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527" s="38">
        <f t="shared" si="72"/>
        <v>15.4825</v>
      </c>
      <c r="Y527" s="18">
        <f t="shared" si="73"/>
        <v>0</v>
      </c>
    </row>
    <row r="528" spans="1:25" x14ac:dyDescent="0.25">
      <c r="A528" s="10">
        <f t="shared" si="74"/>
        <v>527</v>
      </c>
      <c r="B528" s="6" t="str">
        <f t="shared" si="67"/>
        <v>82620192653JM</v>
      </c>
      <c r="C528" s="1" t="s">
        <v>967</v>
      </c>
      <c r="D528" s="1" t="s">
        <v>996</v>
      </c>
      <c r="E528" s="53" t="str">
        <f t="shared" si="68"/>
        <v>Unbilled</v>
      </c>
      <c r="F528" s="1">
        <v>2653</v>
      </c>
      <c r="G528" s="37" t="str">
        <f>VLOOKUP(Table1[[#This Row],[WO'#]],Table2[#All],2,FALSE)</f>
        <v>Accessibility Work</v>
      </c>
      <c r="H528" s="20" t="s">
        <v>996</v>
      </c>
      <c r="I528" s="2">
        <v>43703</v>
      </c>
      <c r="J528" s="4">
        <f t="shared" si="69"/>
        <v>26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3">
        <v>2</v>
      </c>
      <c r="Q528" s="3">
        <f t="shared" si="70"/>
        <v>2</v>
      </c>
      <c r="R528" s="1" t="s">
        <v>972</v>
      </c>
      <c r="S528" s="1" t="s">
        <v>23</v>
      </c>
      <c r="T528" s="3">
        <f t="shared" si="71"/>
        <v>0</v>
      </c>
      <c r="U528" s="44">
        <f>IF(Table1[[#This Row],[Initials]]="RM",$AE$10,IF(Table1[[#This Row],[Initials]]="JPH",$AE$11,IF(Table1[[#This Row],[Initials]]="IE",$AE$13,IF(Table1[[#This Row],[Initials]]="JM",$AE$14,1))))</f>
        <v>0.39500000000000002</v>
      </c>
      <c r="V528" s="3">
        <f>Table1[[#This Row],[FTE %]]*Table1[[#This Row],[Time Worked]]</f>
        <v>0.79</v>
      </c>
      <c r="W52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528" s="38">
        <f t="shared" si="72"/>
        <v>123.86</v>
      </c>
      <c r="Y528" s="18">
        <f t="shared" si="73"/>
        <v>0</v>
      </c>
    </row>
    <row r="529" spans="1:25" x14ac:dyDescent="0.25">
      <c r="A529" s="10">
        <f t="shared" si="74"/>
        <v>528</v>
      </c>
      <c r="B529" s="6" t="str">
        <f t="shared" si="67"/>
        <v>82620192653RM</v>
      </c>
      <c r="C529" s="1" t="s">
        <v>967</v>
      </c>
      <c r="D529" s="1" t="s">
        <v>996</v>
      </c>
      <c r="E529" s="53" t="str">
        <f t="shared" si="68"/>
        <v>Unbilled</v>
      </c>
      <c r="F529" s="1">
        <v>2653</v>
      </c>
      <c r="G529" s="37" t="str">
        <f>VLOOKUP(Table1[[#This Row],[WO'#]],Table2[#All],2,FALSE)</f>
        <v>Accessibility Work</v>
      </c>
      <c r="H529" s="20" t="s">
        <v>996</v>
      </c>
      <c r="I529" s="2">
        <v>43703</v>
      </c>
      <c r="J529" s="4">
        <f t="shared" si="69"/>
        <v>26</v>
      </c>
      <c r="K529" s="3">
        <v>0</v>
      </c>
      <c r="L529" s="3">
        <v>0</v>
      </c>
      <c r="M529" s="3">
        <v>0</v>
      </c>
      <c r="N529" s="3">
        <v>0</v>
      </c>
      <c r="O529" s="3">
        <v>0</v>
      </c>
      <c r="P529" s="3">
        <v>4.5</v>
      </c>
      <c r="Q529" s="3">
        <f t="shared" si="70"/>
        <v>4.5</v>
      </c>
      <c r="R529" s="1" t="s">
        <v>17</v>
      </c>
      <c r="S529" s="1" t="s">
        <v>23</v>
      </c>
      <c r="T529" s="3">
        <f t="shared" si="71"/>
        <v>0</v>
      </c>
      <c r="U529" s="44">
        <f>IF(Table1[[#This Row],[Initials]]="RM",$AE$10,IF(Table1[[#This Row],[Initials]]="JPH",$AE$11,IF(Table1[[#This Row],[Initials]]="IE",$AE$13,IF(Table1[[#This Row],[Initials]]="JM",$AE$14,1))))</f>
        <v>0.5</v>
      </c>
      <c r="V529" s="3">
        <f>Table1[[#This Row],[FTE %]]*Table1[[#This Row],[Time Worked]]</f>
        <v>2.25</v>
      </c>
      <c r="W52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529" s="38">
        <f t="shared" si="72"/>
        <v>278.685</v>
      </c>
      <c r="Y529" s="18">
        <f t="shared" si="73"/>
        <v>0</v>
      </c>
    </row>
    <row r="530" spans="1:25" x14ac:dyDescent="0.25">
      <c r="A530" s="10">
        <f t="shared" si="74"/>
        <v>529</v>
      </c>
      <c r="B530" s="6" t="str">
        <f t="shared" si="67"/>
        <v>82720192653JM</v>
      </c>
      <c r="C530" s="1" t="s">
        <v>967</v>
      </c>
      <c r="D530" s="1" t="s">
        <v>996</v>
      </c>
      <c r="E530" s="53" t="str">
        <f t="shared" si="68"/>
        <v>Unbilled</v>
      </c>
      <c r="F530" s="1">
        <v>2653</v>
      </c>
      <c r="G530" s="37" t="str">
        <f>VLOOKUP(Table1[[#This Row],[WO'#]],Table2[#All],2,FALSE)</f>
        <v>Accessibility Work</v>
      </c>
      <c r="H530" s="20" t="s">
        <v>996</v>
      </c>
      <c r="I530" s="2">
        <v>43704</v>
      </c>
      <c r="J530" s="4">
        <f t="shared" si="69"/>
        <v>27</v>
      </c>
      <c r="K530" s="3">
        <v>0</v>
      </c>
      <c r="L530" s="3">
        <v>0</v>
      </c>
      <c r="M530" s="3">
        <v>0</v>
      </c>
      <c r="N530" s="3">
        <v>0</v>
      </c>
      <c r="O530" s="3">
        <v>0</v>
      </c>
      <c r="P530" s="3">
        <v>1.25</v>
      </c>
      <c r="Q530" s="3">
        <f t="shared" si="70"/>
        <v>1.25</v>
      </c>
      <c r="R530" s="1" t="s">
        <v>972</v>
      </c>
      <c r="S530" s="1" t="s">
        <v>23</v>
      </c>
      <c r="T530" s="3">
        <f t="shared" si="71"/>
        <v>0</v>
      </c>
      <c r="U530" s="44">
        <f>IF(Table1[[#This Row],[Initials]]="RM",$AE$10,IF(Table1[[#This Row],[Initials]]="JPH",$AE$11,IF(Table1[[#This Row],[Initials]]="IE",$AE$13,IF(Table1[[#This Row],[Initials]]="JM",$AE$14,1))))</f>
        <v>0.39500000000000002</v>
      </c>
      <c r="V530" s="3">
        <f>Table1[[#This Row],[FTE %]]*Table1[[#This Row],[Time Worked]]</f>
        <v>0.49375000000000002</v>
      </c>
      <c r="W53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530" s="38">
        <f t="shared" si="72"/>
        <v>77.412499999999994</v>
      </c>
      <c r="Y530" s="18">
        <f t="shared" si="73"/>
        <v>0</v>
      </c>
    </row>
    <row r="531" spans="1:25" x14ac:dyDescent="0.25">
      <c r="A531" s="10">
        <f t="shared" si="74"/>
        <v>530</v>
      </c>
      <c r="B531" s="6" t="str">
        <f t="shared" si="67"/>
        <v>83020192653JM</v>
      </c>
      <c r="C531" s="1" t="s">
        <v>967</v>
      </c>
      <c r="D531" s="1" t="s">
        <v>996</v>
      </c>
      <c r="E531" s="53" t="str">
        <f t="shared" si="68"/>
        <v>Unbilled</v>
      </c>
      <c r="F531" s="1">
        <v>2653</v>
      </c>
      <c r="G531" s="37" t="str">
        <f>VLOOKUP(Table1[[#This Row],[WO'#]],Table2[#All],2,FALSE)</f>
        <v>Accessibility Work</v>
      </c>
      <c r="H531" s="20" t="s">
        <v>996</v>
      </c>
      <c r="I531" s="2">
        <v>43707</v>
      </c>
      <c r="J531" s="4">
        <f t="shared" si="69"/>
        <v>30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3">
        <v>2</v>
      </c>
      <c r="Q531" s="3">
        <f t="shared" si="70"/>
        <v>2</v>
      </c>
      <c r="R531" s="1" t="s">
        <v>972</v>
      </c>
      <c r="S531" s="1" t="s">
        <v>23</v>
      </c>
      <c r="T531" s="3">
        <f t="shared" si="71"/>
        <v>0</v>
      </c>
      <c r="U531" s="44">
        <f>IF(Table1[[#This Row],[Initials]]="RM",$AE$10,IF(Table1[[#This Row],[Initials]]="JPH",$AE$11,IF(Table1[[#This Row],[Initials]]="IE",$AE$13,IF(Table1[[#This Row],[Initials]]="JM",$AE$14,1))))</f>
        <v>0.39500000000000002</v>
      </c>
      <c r="V531" s="3">
        <f>Table1[[#This Row],[FTE %]]*Table1[[#This Row],[Time Worked]]</f>
        <v>0.79</v>
      </c>
      <c r="W53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123.86</v>
      </c>
      <c r="X531" s="38">
        <f t="shared" si="72"/>
        <v>123.86</v>
      </c>
      <c r="Y531" s="18">
        <f t="shared" si="73"/>
        <v>0</v>
      </c>
    </row>
    <row r="532" spans="1:25" x14ac:dyDescent="0.25">
      <c r="A532" s="10">
        <f t="shared" ref="A532:A549" si="75">IF(IFERROR(A531+1,1)=1,1,A531+1)</f>
        <v>531</v>
      </c>
      <c r="B532" s="6" t="str">
        <f t="shared" si="67"/>
        <v>9420192653JM</v>
      </c>
      <c r="C532" s="1" t="s">
        <v>967</v>
      </c>
      <c r="D532" s="1" t="s">
        <v>996</v>
      </c>
      <c r="E532" s="53" t="str">
        <f t="shared" si="68"/>
        <v>Unbilled</v>
      </c>
      <c r="F532" s="1">
        <v>2653</v>
      </c>
      <c r="G532" s="37" t="str">
        <f>VLOOKUP(Table1[[#This Row],[WO'#]],Table2[#All],2,FALSE)</f>
        <v>Accessibility Work</v>
      </c>
      <c r="H532" s="20" t="s">
        <v>996</v>
      </c>
      <c r="I532" s="2">
        <v>43712</v>
      </c>
      <c r="J532" s="4">
        <f t="shared" si="69"/>
        <v>4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>
        <v>0.5</v>
      </c>
      <c r="Q532" s="3">
        <f t="shared" si="70"/>
        <v>0.5</v>
      </c>
      <c r="R532" s="1" t="s">
        <v>972</v>
      </c>
      <c r="S532" s="1" t="s">
        <v>23</v>
      </c>
      <c r="T532" s="3">
        <f t="shared" si="71"/>
        <v>0</v>
      </c>
      <c r="U532" s="44">
        <f>IF(Table1[[#This Row],[Initials]]="RM",$AE$10,IF(Table1[[#This Row],[Initials]]="JPH",$AE$11,IF(Table1[[#This Row],[Initials]]="IE",$AE$13,IF(Table1[[#This Row],[Initials]]="JM",$AE$14,1))))</f>
        <v>0.39500000000000002</v>
      </c>
      <c r="V532" s="3">
        <f>Table1[[#This Row],[FTE %]]*Table1[[#This Row],[Time Worked]]</f>
        <v>0.19750000000000001</v>
      </c>
      <c r="W53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532" s="38">
        <f t="shared" si="72"/>
        <v>30.965</v>
      </c>
      <c r="Y532" s="18">
        <f t="shared" si="73"/>
        <v>0</v>
      </c>
    </row>
    <row r="533" spans="1:25" x14ac:dyDescent="0.25">
      <c r="A533" s="10">
        <f t="shared" si="75"/>
        <v>532</v>
      </c>
      <c r="B533" s="6" t="str">
        <f t="shared" si="67"/>
        <v>82720192654JM</v>
      </c>
      <c r="C533" s="1" t="s">
        <v>967</v>
      </c>
      <c r="D533" s="1" t="s">
        <v>996</v>
      </c>
      <c r="E533" s="53" t="str">
        <f t="shared" si="68"/>
        <v>Unbilled</v>
      </c>
      <c r="F533" s="1">
        <v>2654</v>
      </c>
      <c r="G533" s="37" t="str">
        <f>VLOOKUP(Table1[[#This Row],[WO'#]],Table2[#All],2,FALSE)</f>
        <v>SM20 Proposal Support</v>
      </c>
      <c r="H533" s="20" t="s">
        <v>996</v>
      </c>
      <c r="I533" s="2">
        <v>43704</v>
      </c>
      <c r="J533" s="4">
        <f t="shared" si="69"/>
        <v>27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>
        <v>4</v>
      </c>
      <c r="Q533" s="3">
        <f t="shared" si="70"/>
        <v>4</v>
      </c>
      <c r="R533" s="1" t="s">
        <v>972</v>
      </c>
      <c r="S533" s="1" t="s">
        <v>23</v>
      </c>
      <c r="T533" s="3">
        <f t="shared" si="71"/>
        <v>0</v>
      </c>
      <c r="U533" s="44">
        <f>IF(Table1[[#This Row],[Initials]]="RM",$AE$10,IF(Table1[[#This Row],[Initials]]="JPH",$AE$11,IF(Table1[[#This Row],[Initials]]="IE",$AE$13,IF(Table1[[#This Row],[Initials]]="JM",$AE$14,1))))</f>
        <v>0.39500000000000002</v>
      </c>
      <c r="V533" s="3">
        <f>Table1[[#This Row],[FTE %]]*Table1[[#This Row],[Time Worked]]</f>
        <v>1.58</v>
      </c>
      <c r="W53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247.72</v>
      </c>
      <c r="X533" s="38">
        <f t="shared" si="72"/>
        <v>247.72</v>
      </c>
      <c r="Y533" s="18">
        <f t="shared" si="73"/>
        <v>0</v>
      </c>
    </row>
    <row r="534" spans="1:25" x14ac:dyDescent="0.25">
      <c r="A534" s="10">
        <f t="shared" si="75"/>
        <v>533</v>
      </c>
      <c r="B534" s="6" t="str">
        <f t="shared" si="67"/>
        <v>82820192654JM</v>
      </c>
      <c r="C534" s="1" t="s">
        <v>967</v>
      </c>
      <c r="D534" s="1" t="s">
        <v>996</v>
      </c>
      <c r="E534" s="53" t="str">
        <f t="shared" si="68"/>
        <v>Unbilled</v>
      </c>
      <c r="F534" s="1">
        <v>2654</v>
      </c>
      <c r="G534" s="37" t="str">
        <f>VLOOKUP(Table1[[#This Row],[WO'#]],Table2[#All],2,FALSE)</f>
        <v>SM20 Proposal Support</v>
      </c>
      <c r="H534" s="20" t="s">
        <v>996</v>
      </c>
      <c r="I534" s="2">
        <v>43705</v>
      </c>
      <c r="J534" s="4">
        <f t="shared" si="69"/>
        <v>28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5.5</v>
      </c>
      <c r="Q534" s="3">
        <f t="shared" si="70"/>
        <v>5.5</v>
      </c>
      <c r="R534" s="1" t="s">
        <v>972</v>
      </c>
      <c r="S534" s="1" t="s">
        <v>23</v>
      </c>
      <c r="T534" s="3">
        <f t="shared" si="71"/>
        <v>0</v>
      </c>
      <c r="U534" s="44">
        <f>IF(Table1[[#This Row],[Initials]]="RM",$AE$10,IF(Table1[[#This Row],[Initials]]="JPH",$AE$11,IF(Table1[[#This Row],[Initials]]="IE",$AE$13,IF(Table1[[#This Row],[Initials]]="JM",$AE$14,1))))</f>
        <v>0.39500000000000002</v>
      </c>
      <c r="V534" s="3">
        <f>Table1[[#This Row],[FTE %]]*Table1[[#This Row],[Time Worked]]</f>
        <v>2.1725000000000003</v>
      </c>
      <c r="W53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340.61500000000001</v>
      </c>
      <c r="X534" s="38">
        <f t="shared" si="72"/>
        <v>340.61500000000001</v>
      </c>
      <c r="Y534" s="18">
        <f t="shared" si="73"/>
        <v>0</v>
      </c>
    </row>
    <row r="535" spans="1:25" x14ac:dyDescent="0.25">
      <c r="A535" s="10">
        <f t="shared" si="75"/>
        <v>534</v>
      </c>
      <c r="B535" s="6" t="str">
        <f t="shared" si="67"/>
        <v>83020192654JM</v>
      </c>
      <c r="C535" s="1" t="s">
        <v>967</v>
      </c>
      <c r="D535" s="1" t="s">
        <v>996</v>
      </c>
      <c r="E535" s="53" t="str">
        <f t="shared" si="68"/>
        <v>Unbilled</v>
      </c>
      <c r="F535" s="1">
        <v>2654</v>
      </c>
      <c r="G535" s="37" t="str">
        <f>VLOOKUP(Table1[[#This Row],[WO'#]],Table2[#All],2,FALSE)</f>
        <v>SM20 Proposal Support</v>
      </c>
      <c r="H535" s="20" t="s">
        <v>996</v>
      </c>
      <c r="I535" s="2">
        <v>43707</v>
      </c>
      <c r="J535" s="4">
        <f t="shared" si="69"/>
        <v>30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>
        <v>1.5</v>
      </c>
      <c r="Q535" s="3">
        <f t="shared" si="70"/>
        <v>1.5</v>
      </c>
      <c r="R535" s="1" t="s">
        <v>972</v>
      </c>
      <c r="S535" s="1" t="s">
        <v>23</v>
      </c>
      <c r="T535" s="3">
        <f t="shared" si="71"/>
        <v>0</v>
      </c>
      <c r="U535" s="44">
        <f>IF(Table1[[#This Row],[Initials]]="RM",$AE$10,IF(Table1[[#This Row],[Initials]]="JPH",$AE$11,IF(Table1[[#This Row],[Initials]]="IE",$AE$13,IF(Table1[[#This Row],[Initials]]="JM",$AE$14,1))))</f>
        <v>0.39500000000000002</v>
      </c>
      <c r="V535" s="3">
        <f>Table1[[#This Row],[FTE %]]*Table1[[#This Row],[Time Worked]]</f>
        <v>0.59250000000000003</v>
      </c>
      <c r="W53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92.894999999999996</v>
      </c>
      <c r="X535" s="38">
        <f t="shared" si="72"/>
        <v>92.894999999999996</v>
      </c>
      <c r="Y535" s="18">
        <f t="shared" si="73"/>
        <v>0</v>
      </c>
    </row>
    <row r="536" spans="1:25" x14ac:dyDescent="0.25">
      <c r="A536" s="10">
        <f t="shared" si="75"/>
        <v>535</v>
      </c>
      <c r="B536" s="6" t="str">
        <f t="shared" si="67"/>
        <v>9320192654JM</v>
      </c>
      <c r="C536" s="1" t="s">
        <v>967</v>
      </c>
      <c r="D536" s="1" t="s">
        <v>996</v>
      </c>
      <c r="E536" s="53" t="str">
        <f t="shared" si="68"/>
        <v>Unbilled</v>
      </c>
      <c r="F536" s="1">
        <v>2654</v>
      </c>
      <c r="G536" s="37" t="str">
        <f>VLOOKUP(Table1[[#This Row],[WO'#]],Table2[#All],2,FALSE)</f>
        <v>SM20 Proposal Support</v>
      </c>
      <c r="H536" s="20" t="s">
        <v>996</v>
      </c>
      <c r="I536" s="2">
        <v>43711</v>
      </c>
      <c r="J536" s="4">
        <f t="shared" si="69"/>
        <v>3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9</v>
      </c>
      <c r="Q536" s="3">
        <f t="shared" si="70"/>
        <v>9</v>
      </c>
      <c r="R536" s="1" t="s">
        <v>972</v>
      </c>
      <c r="S536" s="1" t="s">
        <v>23</v>
      </c>
      <c r="T536" s="3">
        <f t="shared" si="71"/>
        <v>0</v>
      </c>
      <c r="U536" s="44">
        <f>IF(Table1[[#This Row],[Initials]]="RM",$AE$10,IF(Table1[[#This Row],[Initials]]="JPH",$AE$11,IF(Table1[[#This Row],[Initials]]="IE",$AE$13,IF(Table1[[#This Row],[Initials]]="JM",$AE$14,1))))</f>
        <v>0.39500000000000002</v>
      </c>
      <c r="V536" s="3">
        <f>Table1[[#This Row],[FTE %]]*Table1[[#This Row],[Time Worked]]</f>
        <v>3.5550000000000002</v>
      </c>
      <c r="W53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557.37</v>
      </c>
      <c r="X536" s="38">
        <f t="shared" si="72"/>
        <v>557.37</v>
      </c>
      <c r="Y536" s="18">
        <f t="shared" si="73"/>
        <v>0</v>
      </c>
    </row>
    <row r="537" spans="1:25" x14ac:dyDescent="0.25">
      <c r="A537" s="10">
        <f t="shared" si="75"/>
        <v>536</v>
      </c>
      <c r="B537" s="6" t="str">
        <f t="shared" si="67"/>
        <v>9420192654JM</v>
      </c>
      <c r="C537" s="1" t="s">
        <v>967</v>
      </c>
      <c r="D537" s="1" t="s">
        <v>996</v>
      </c>
      <c r="E537" s="53" t="str">
        <f t="shared" si="68"/>
        <v>Unbilled</v>
      </c>
      <c r="F537" s="1">
        <v>2654</v>
      </c>
      <c r="G537" s="37" t="str">
        <f>VLOOKUP(Table1[[#This Row],[WO'#]],Table2[#All],2,FALSE)</f>
        <v>SM20 Proposal Support</v>
      </c>
      <c r="H537" s="20" t="s">
        <v>996</v>
      </c>
      <c r="I537" s="2">
        <v>43712</v>
      </c>
      <c r="J537" s="4">
        <f t="shared" si="69"/>
        <v>4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8.75</v>
      </c>
      <c r="Q537" s="3">
        <f t="shared" si="70"/>
        <v>8.75</v>
      </c>
      <c r="R537" s="1" t="s">
        <v>972</v>
      </c>
      <c r="S537" s="1" t="s">
        <v>23</v>
      </c>
      <c r="T537" s="3">
        <f t="shared" si="71"/>
        <v>0</v>
      </c>
      <c r="U537" s="44">
        <f>IF(Table1[[#This Row],[Initials]]="RM",$AE$10,IF(Table1[[#This Row],[Initials]]="JPH",$AE$11,IF(Table1[[#This Row],[Initials]]="IE",$AE$13,IF(Table1[[#This Row],[Initials]]="JM",$AE$14,1))))</f>
        <v>0.39500000000000002</v>
      </c>
      <c r="V537" s="3">
        <f>Table1[[#This Row],[FTE %]]*Table1[[#This Row],[Time Worked]]</f>
        <v>3.4562500000000003</v>
      </c>
      <c r="W53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541.88750000000005</v>
      </c>
      <c r="X537" s="38">
        <f t="shared" si="72"/>
        <v>541.88750000000005</v>
      </c>
      <c r="Y537" s="18">
        <f t="shared" si="73"/>
        <v>0</v>
      </c>
    </row>
    <row r="538" spans="1:25" x14ac:dyDescent="0.25">
      <c r="A538" s="10">
        <f t="shared" si="75"/>
        <v>537</v>
      </c>
      <c r="B538" s="6" t="str">
        <f t="shared" si="67"/>
        <v>9520192654JM</v>
      </c>
      <c r="C538" s="1" t="s">
        <v>967</v>
      </c>
      <c r="D538" s="1" t="s">
        <v>996</v>
      </c>
      <c r="E538" s="53" t="str">
        <f t="shared" si="68"/>
        <v>Unbilled</v>
      </c>
      <c r="F538" s="1">
        <v>2654</v>
      </c>
      <c r="G538" s="37" t="str">
        <f>VLOOKUP(Table1[[#This Row],[WO'#]],Table2[#All],2,FALSE)</f>
        <v>SM20 Proposal Support</v>
      </c>
      <c r="H538" s="20" t="s">
        <v>996</v>
      </c>
      <c r="I538" s="2">
        <v>43713</v>
      </c>
      <c r="J538" s="4">
        <f t="shared" si="69"/>
        <v>5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3">
        <v>5.75</v>
      </c>
      <c r="Q538" s="3">
        <f t="shared" si="70"/>
        <v>5.75</v>
      </c>
      <c r="R538" s="1" t="s">
        <v>972</v>
      </c>
      <c r="S538" s="1" t="s">
        <v>23</v>
      </c>
      <c r="T538" s="3">
        <f t="shared" si="71"/>
        <v>0</v>
      </c>
      <c r="U538" s="44">
        <f>IF(Table1[[#This Row],[Initials]]="RM",$AE$10,IF(Table1[[#This Row],[Initials]]="JPH",$AE$11,IF(Table1[[#This Row],[Initials]]="IE",$AE$13,IF(Table1[[#This Row],[Initials]]="JM",$AE$14,1))))</f>
        <v>0.39500000000000002</v>
      </c>
      <c r="V538" s="3">
        <f>Table1[[#This Row],[FTE %]]*Table1[[#This Row],[Time Worked]]</f>
        <v>2.2712500000000002</v>
      </c>
      <c r="W53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356.09750000000003</v>
      </c>
      <c r="X538" s="38">
        <f t="shared" si="72"/>
        <v>356.09750000000003</v>
      </c>
      <c r="Y538" s="18">
        <f t="shared" si="73"/>
        <v>0</v>
      </c>
    </row>
    <row r="539" spans="1:25" x14ac:dyDescent="0.25">
      <c r="A539" s="10">
        <f t="shared" si="75"/>
        <v>538</v>
      </c>
      <c r="B539" s="6" t="str">
        <f t="shared" si="67"/>
        <v>9620192654JM</v>
      </c>
      <c r="C539" s="1" t="s">
        <v>967</v>
      </c>
      <c r="D539" s="1" t="s">
        <v>996</v>
      </c>
      <c r="E539" s="53" t="str">
        <f t="shared" si="68"/>
        <v>Unbilled</v>
      </c>
      <c r="F539" s="1">
        <v>2654</v>
      </c>
      <c r="G539" s="37" t="str">
        <f>VLOOKUP(Table1[[#This Row],[WO'#]],Table2[#All],2,FALSE)</f>
        <v>SM20 Proposal Support</v>
      </c>
      <c r="H539" s="20" t="s">
        <v>996</v>
      </c>
      <c r="I539" s="2">
        <v>43714</v>
      </c>
      <c r="J539" s="4">
        <f t="shared" si="69"/>
        <v>6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3">
        <v>4.5</v>
      </c>
      <c r="Q539" s="3">
        <f t="shared" si="70"/>
        <v>4.5</v>
      </c>
      <c r="R539" s="1" t="s">
        <v>972</v>
      </c>
      <c r="S539" s="1" t="s">
        <v>23</v>
      </c>
      <c r="T539" s="3">
        <f t="shared" si="71"/>
        <v>0</v>
      </c>
      <c r="U539" s="44">
        <f>IF(Table1[[#This Row],[Initials]]="RM",$AE$10,IF(Table1[[#This Row],[Initials]]="JPH",$AE$11,IF(Table1[[#This Row],[Initials]]="IE",$AE$13,IF(Table1[[#This Row],[Initials]]="JM",$AE$14,1))))</f>
        <v>0.39500000000000002</v>
      </c>
      <c r="V539" s="3">
        <f>Table1[[#This Row],[FTE %]]*Table1[[#This Row],[Time Worked]]</f>
        <v>1.7775000000000001</v>
      </c>
      <c r="W53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278.685</v>
      </c>
      <c r="X539" s="38">
        <f t="shared" si="72"/>
        <v>278.685</v>
      </c>
      <c r="Y539" s="18">
        <f t="shared" si="73"/>
        <v>0</v>
      </c>
    </row>
    <row r="540" spans="1:25" x14ac:dyDescent="0.25">
      <c r="A540" s="10">
        <f t="shared" si="75"/>
        <v>539</v>
      </c>
      <c r="B540" s="6" t="str">
        <f t="shared" si="67"/>
        <v>9520192600JM</v>
      </c>
      <c r="C540" s="1" t="s">
        <v>995</v>
      </c>
      <c r="D540" s="1" t="s">
        <v>996</v>
      </c>
      <c r="E540" s="53" t="str">
        <f t="shared" si="68"/>
        <v>Write Off</v>
      </c>
      <c r="F540" s="1">
        <v>2600</v>
      </c>
      <c r="G540" s="37" t="str">
        <f>VLOOKUP(Table1[[#This Row],[WO'#]],Table2[#All],2,FALSE)</f>
        <v>SM18 Master</v>
      </c>
      <c r="H540" s="20" t="s">
        <v>996</v>
      </c>
      <c r="I540" s="2">
        <v>43713</v>
      </c>
      <c r="J540" s="4">
        <f t="shared" si="69"/>
        <v>5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>
        <v>2.5</v>
      </c>
      <c r="Q540" s="3">
        <f t="shared" si="70"/>
        <v>2.5</v>
      </c>
      <c r="R540" s="1" t="s">
        <v>972</v>
      </c>
      <c r="S540" s="1" t="s">
        <v>23</v>
      </c>
      <c r="T540" s="3">
        <f t="shared" si="71"/>
        <v>0</v>
      </c>
      <c r="U540" s="44">
        <f>IF(Table1[[#This Row],[Initials]]="RM",$AE$10,IF(Table1[[#This Row],[Initials]]="JPH",$AE$11,IF(Table1[[#This Row],[Initials]]="IE",$AE$13,IF(Table1[[#This Row],[Initials]]="JM",$AE$14,1))))</f>
        <v>0.39500000000000002</v>
      </c>
      <c r="V540" s="3">
        <f>Table1[[#This Row],[FTE %]]*Table1[[#This Row],[Time Worked]]</f>
        <v>0.98750000000000004</v>
      </c>
      <c r="W54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61.155875000000002</v>
      </c>
      <c r="X540" s="38">
        <f t="shared" si="72"/>
        <v>0</v>
      </c>
      <c r="Y540" s="18">
        <f t="shared" si="73"/>
        <v>0</v>
      </c>
    </row>
    <row r="541" spans="1:25" x14ac:dyDescent="0.25">
      <c r="A541" s="10">
        <f t="shared" si="75"/>
        <v>540</v>
      </c>
      <c r="B541" s="6" t="str">
        <f t="shared" si="67"/>
        <v>9620192600JM</v>
      </c>
      <c r="C541" s="1" t="s">
        <v>995</v>
      </c>
      <c r="D541" s="1" t="s">
        <v>996</v>
      </c>
      <c r="E541" s="53" t="str">
        <f t="shared" si="68"/>
        <v>Write Off</v>
      </c>
      <c r="F541" s="1">
        <v>2600</v>
      </c>
      <c r="G541" s="37" t="str">
        <f>VLOOKUP(Table1[[#This Row],[WO'#]],Table2[#All],2,FALSE)</f>
        <v>SM18 Master</v>
      </c>
      <c r="H541" s="20" t="s">
        <v>996</v>
      </c>
      <c r="I541" s="2">
        <v>43714</v>
      </c>
      <c r="J541" s="4">
        <f t="shared" si="69"/>
        <v>6</v>
      </c>
      <c r="K541" s="3">
        <v>0</v>
      </c>
      <c r="L541" s="3">
        <v>0</v>
      </c>
      <c r="M541" s="3">
        <v>0</v>
      </c>
      <c r="N541" s="3">
        <v>0</v>
      </c>
      <c r="O541" s="3">
        <v>0</v>
      </c>
      <c r="P541" s="3">
        <v>4</v>
      </c>
      <c r="Q541" s="3">
        <f t="shared" si="70"/>
        <v>4</v>
      </c>
      <c r="R541" s="1" t="s">
        <v>972</v>
      </c>
      <c r="S541" s="1" t="s">
        <v>23</v>
      </c>
      <c r="T541" s="3">
        <f t="shared" si="71"/>
        <v>0</v>
      </c>
      <c r="U541" s="44">
        <f>IF(Table1[[#This Row],[Initials]]="RM",$AE$10,IF(Table1[[#This Row],[Initials]]="JPH",$AE$11,IF(Table1[[#This Row],[Initials]]="IE",$AE$13,IF(Table1[[#This Row],[Initials]]="JM",$AE$14,1))))</f>
        <v>0.39500000000000002</v>
      </c>
      <c r="V541" s="3">
        <f>Table1[[#This Row],[FTE %]]*Table1[[#This Row],[Time Worked]]</f>
        <v>1.58</v>
      </c>
      <c r="W541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97.849400000000003</v>
      </c>
      <c r="X541" s="38">
        <f t="shared" si="72"/>
        <v>0</v>
      </c>
      <c r="Y541" s="18">
        <f t="shared" si="73"/>
        <v>0</v>
      </c>
    </row>
    <row r="542" spans="1:25" x14ac:dyDescent="0.25">
      <c r="A542" s="10">
        <f t="shared" si="75"/>
        <v>541</v>
      </c>
      <c r="B542" s="6" t="str">
        <f t="shared" si="67"/>
        <v>81520192647JM</v>
      </c>
      <c r="C542" s="1" t="s">
        <v>995</v>
      </c>
      <c r="D542" s="1" t="s">
        <v>996</v>
      </c>
      <c r="E542" s="53" t="str">
        <f t="shared" si="68"/>
        <v>Write Off</v>
      </c>
      <c r="F542" s="1">
        <v>2647</v>
      </c>
      <c r="G542" s="37" t="str">
        <f>VLOOKUP(Table1[[#This Row],[WO'#]],Table2[#All],2,FALSE)</f>
        <v>R&amp;D, Conference, Workshop FY20</v>
      </c>
      <c r="H542" s="20" t="s">
        <v>996</v>
      </c>
      <c r="I542" s="2">
        <v>43692</v>
      </c>
      <c r="J542" s="4">
        <f t="shared" si="69"/>
        <v>15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3">
        <v>2.5</v>
      </c>
      <c r="Q542" s="3">
        <f t="shared" si="70"/>
        <v>2.5</v>
      </c>
      <c r="R542" s="1" t="s">
        <v>972</v>
      </c>
      <c r="S542" s="1" t="s">
        <v>23</v>
      </c>
      <c r="T542" s="3">
        <f t="shared" si="71"/>
        <v>0</v>
      </c>
      <c r="U542" s="44">
        <f>IF(Table1[[#This Row],[Initials]]="RM",$AE$10,IF(Table1[[#This Row],[Initials]]="JPH",$AE$11,IF(Table1[[#This Row],[Initials]]="IE",$AE$13,IF(Table1[[#This Row],[Initials]]="JM",$AE$14,1))))</f>
        <v>0.39500000000000002</v>
      </c>
      <c r="V542" s="3">
        <f>Table1[[#This Row],[FTE %]]*Table1[[#This Row],[Time Worked]]</f>
        <v>0.98750000000000004</v>
      </c>
      <c r="W542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61.155875000000002</v>
      </c>
      <c r="X542" s="38">
        <f t="shared" si="72"/>
        <v>0</v>
      </c>
      <c r="Y542" s="18">
        <f t="shared" si="73"/>
        <v>0</v>
      </c>
    </row>
    <row r="543" spans="1:25" x14ac:dyDescent="0.25">
      <c r="A543" s="10">
        <f t="shared" si="75"/>
        <v>542</v>
      </c>
      <c r="B543" s="6" t="str">
        <f t="shared" si="67"/>
        <v>7320192648RM</v>
      </c>
      <c r="C543" s="1" t="s">
        <v>995</v>
      </c>
      <c r="D543" s="1" t="s">
        <v>996</v>
      </c>
      <c r="E543" s="1" t="str">
        <f t="shared" si="68"/>
        <v>Write Off</v>
      </c>
      <c r="F543" s="1">
        <v>2648</v>
      </c>
      <c r="G543" s="37" t="str">
        <f>VLOOKUP(Table1[[#This Row],[WO'#]],Table2[#All],2,FALSE)</f>
        <v>Outreach Opportunities FY20</v>
      </c>
      <c r="H543" s="20" t="s">
        <v>996</v>
      </c>
      <c r="I543" s="2">
        <v>43649</v>
      </c>
      <c r="J543" s="4">
        <f t="shared" si="69"/>
        <v>3</v>
      </c>
      <c r="K543" s="3">
        <v>0</v>
      </c>
      <c r="L543" s="3">
        <v>0</v>
      </c>
      <c r="M543" s="3">
        <v>0</v>
      </c>
      <c r="N543" s="3">
        <v>0</v>
      </c>
      <c r="O543" s="3">
        <v>0</v>
      </c>
      <c r="P543" s="3">
        <v>1</v>
      </c>
      <c r="Q543" s="3">
        <f t="shared" si="70"/>
        <v>1</v>
      </c>
      <c r="R543" s="1" t="s">
        <v>17</v>
      </c>
      <c r="S543" s="1" t="s">
        <v>23</v>
      </c>
      <c r="T543" s="3">
        <f t="shared" si="71"/>
        <v>0</v>
      </c>
      <c r="U543" s="44">
        <f>IF(Table1[[#This Row],[Initials]]="RM",$AE$10,IF(Table1[[#This Row],[Initials]]="JPH",$AE$11,IF(Table1[[#This Row],[Initials]]="IE",$AE$13,IF(Table1[[#This Row],[Initials]]="JM",$AE$14,1))))</f>
        <v>0.5</v>
      </c>
      <c r="V543" s="3">
        <f>Table1[[#This Row],[FTE %]]*Table1[[#This Row],[Time Worked]]</f>
        <v>0.5</v>
      </c>
      <c r="W543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30.965</v>
      </c>
      <c r="X543" s="38">
        <f t="shared" si="72"/>
        <v>0</v>
      </c>
      <c r="Y543" s="18">
        <f t="shared" si="73"/>
        <v>0</v>
      </c>
    </row>
    <row r="544" spans="1:25" x14ac:dyDescent="0.25">
      <c r="A544" s="10">
        <f t="shared" si="75"/>
        <v>543</v>
      </c>
      <c r="B544" s="6" t="str">
        <f t="shared" si="67"/>
        <v>7820192648RM</v>
      </c>
      <c r="C544" s="1" t="s">
        <v>995</v>
      </c>
      <c r="D544" s="1" t="s">
        <v>996</v>
      </c>
      <c r="E544" s="1" t="str">
        <f t="shared" si="68"/>
        <v>Write Off</v>
      </c>
      <c r="F544" s="1">
        <v>2648</v>
      </c>
      <c r="G544" s="37" t="str">
        <f>VLOOKUP(Table1[[#This Row],[WO'#]],Table2[#All],2,FALSE)</f>
        <v>Outreach Opportunities FY20</v>
      </c>
      <c r="H544" s="20" t="s">
        <v>996</v>
      </c>
      <c r="I544" s="2">
        <v>43654</v>
      </c>
      <c r="J544" s="4">
        <f t="shared" si="69"/>
        <v>8</v>
      </c>
      <c r="K544" s="3">
        <v>0</v>
      </c>
      <c r="L544" s="3">
        <v>0</v>
      </c>
      <c r="M544" s="3">
        <v>0</v>
      </c>
      <c r="N544" s="3">
        <v>0</v>
      </c>
      <c r="O544" s="3">
        <v>0</v>
      </c>
      <c r="P544" s="3">
        <v>1.5</v>
      </c>
      <c r="Q544" s="3">
        <f t="shared" si="70"/>
        <v>1.5</v>
      </c>
      <c r="R544" s="1" t="s">
        <v>17</v>
      </c>
      <c r="S544" s="1" t="s">
        <v>23</v>
      </c>
      <c r="T544" s="3">
        <f t="shared" si="71"/>
        <v>0</v>
      </c>
      <c r="U544" s="44">
        <f>IF(Table1[[#This Row],[Initials]]="RM",$AE$10,IF(Table1[[#This Row],[Initials]]="JPH",$AE$11,IF(Table1[[#This Row],[Initials]]="IE",$AE$13,IF(Table1[[#This Row],[Initials]]="JM",$AE$14,1))))</f>
        <v>0.5</v>
      </c>
      <c r="V544" s="3">
        <f>Table1[[#This Row],[FTE %]]*Table1[[#This Row],[Time Worked]]</f>
        <v>0.75</v>
      </c>
      <c r="W544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544" s="38">
        <f t="shared" si="72"/>
        <v>0</v>
      </c>
      <c r="Y544" s="18">
        <f t="shared" si="73"/>
        <v>0</v>
      </c>
    </row>
    <row r="545" spans="1:25" x14ac:dyDescent="0.25">
      <c r="A545" s="10">
        <f t="shared" si="75"/>
        <v>544</v>
      </c>
      <c r="B545" s="6" t="str">
        <f t="shared" si="67"/>
        <v>71520192648RM</v>
      </c>
      <c r="C545" s="1" t="s">
        <v>995</v>
      </c>
      <c r="D545" s="1" t="s">
        <v>996</v>
      </c>
      <c r="E545" s="1" t="str">
        <f t="shared" si="68"/>
        <v>Write Off</v>
      </c>
      <c r="F545" s="1">
        <v>2648</v>
      </c>
      <c r="G545" s="37" t="str">
        <f>VLOOKUP(Table1[[#This Row],[WO'#]],Table2[#All],2,FALSE)</f>
        <v>Outreach Opportunities FY20</v>
      </c>
      <c r="H545" s="20" t="s">
        <v>996</v>
      </c>
      <c r="I545" s="2">
        <v>43661</v>
      </c>
      <c r="J545" s="4">
        <f t="shared" si="69"/>
        <v>15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3">
        <v>2.5</v>
      </c>
      <c r="Q545" s="3">
        <f t="shared" si="70"/>
        <v>2.5</v>
      </c>
      <c r="R545" s="1" t="s">
        <v>17</v>
      </c>
      <c r="S545" s="1" t="s">
        <v>23</v>
      </c>
      <c r="T545" s="3">
        <f t="shared" si="71"/>
        <v>0</v>
      </c>
      <c r="U545" s="44">
        <f>IF(Table1[[#This Row],[Initials]]="RM",$AE$10,IF(Table1[[#This Row],[Initials]]="JPH",$AE$11,IF(Table1[[#This Row],[Initials]]="IE",$AE$13,IF(Table1[[#This Row],[Initials]]="JM",$AE$14,1))))</f>
        <v>0.5</v>
      </c>
      <c r="V545" s="3">
        <f>Table1[[#This Row],[FTE %]]*Table1[[#This Row],[Time Worked]]</f>
        <v>1.25</v>
      </c>
      <c r="W545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77.412499999999994</v>
      </c>
      <c r="X545" s="38">
        <f t="shared" si="72"/>
        <v>0</v>
      </c>
      <c r="Y545" s="18">
        <f t="shared" si="73"/>
        <v>0</v>
      </c>
    </row>
    <row r="546" spans="1:25" x14ac:dyDescent="0.25">
      <c r="A546" s="10">
        <f t="shared" si="75"/>
        <v>545</v>
      </c>
      <c r="B546" s="6" t="str">
        <f t="shared" si="67"/>
        <v>71920192648RM</v>
      </c>
      <c r="C546" s="1" t="s">
        <v>995</v>
      </c>
      <c r="D546" s="1" t="s">
        <v>996</v>
      </c>
      <c r="E546" s="53" t="str">
        <f t="shared" si="68"/>
        <v>Write Off</v>
      </c>
      <c r="F546" s="1">
        <v>2648</v>
      </c>
      <c r="G546" s="37" t="str">
        <f>VLOOKUP(Table1[[#This Row],[WO'#]],Table2[#All],2,FALSE)</f>
        <v>Outreach Opportunities FY20</v>
      </c>
      <c r="H546" s="20" t="s">
        <v>996</v>
      </c>
      <c r="I546" s="2">
        <v>43665</v>
      </c>
      <c r="J546" s="4">
        <f t="shared" si="69"/>
        <v>19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0.5</v>
      </c>
      <c r="Q546" s="3">
        <f t="shared" si="70"/>
        <v>0.5</v>
      </c>
      <c r="R546" s="1" t="s">
        <v>17</v>
      </c>
      <c r="S546" s="1" t="s">
        <v>23</v>
      </c>
      <c r="T546" s="3">
        <f t="shared" si="71"/>
        <v>0</v>
      </c>
      <c r="U546" s="44">
        <f>IF(Table1[[#This Row],[Initials]]="RM",$AE$10,IF(Table1[[#This Row],[Initials]]="JPH",$AE$11,IF(Table1[[#This Row],[Initials]]="IE",$AE$13,IF(Table1[[#This Row],[Initials]]="JM",$AE$14,1))))</f>
        <v>0.5</v>
      </c>
      <c r="V546" s="3">
        <f>Table1[[#This Row],[FTE %]]*Table1[[#This Row],[Time Worked]]</f>
        <v>0.25</v>
      </c>
      <c r="W546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546" s="38">
        <f t="shared" si="72"/>
        <v>0</v>
      </c>
      <c r="Y546" s="18">
        <f t="shared" si="73"/>
        <v>0</v>
      </c>
    </row>
    <row r="547" spans="1:25" x14ac:dyDescent="0.25">
      <c r="A547" s="10">
        <f t="shared" si="75"/>
        <v>546</v>
      </c>
      <c r="B547" s="6" t="str">
        <f t="shared" si="67"/>
        <v>8720192648RM</v>
      </c>
      <c r="C547" s="1" t="s">
        <v>995</v>
      </c>
      <c r="D547" s="1" t="s">
        <v>996</v>
      </c>
      <c r="E547" s="53" t="str">
        <f t="shared" si="68"/>
        <v>Write Off</v>
      </c>
      <c r="F547" s="1">
        <v>2648</v>
      </c>
      <c r="G547" s="37" t="str">
        <f>VLOOKUP(Table1[[#This Row],[WO'#]],Table2[#All],2,FALSE)</f>
        <v>Outreach Opportunities FY20</v>
      </c>
      <c r="H547" s="20" t="s">
        <v>996</v>
      </c>
      <c r="I547" s="2">
        <v>43684</v>
      </c>
      <c r="J547" s="4">
        <f t="shared" si="69"/>
        <v>7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3">
        <v>0.5</v>
      </c>
      <c r="Q547" s="3">
        <f t="shared" si="70"/>
        <v>0.5</v>
      </c>
      <c r="R547" s="1" t="s">
        <v>17</v>
      </c>
      <c r="S547" s="1" t="s">
        <v>23</v>
      </c>
      <c r="T547" s="3">
        <f t="shared" si="71"/>
        <v>0</v>
      </c>
      <c r="U547" s="44">
        <f>IF(Table1[[#This Row],[Initials]]="RM",$AE$10,IF(Table1[[#This Row],[Initials]]="JPH",$AE$11,IF(Table1[[#This Row],[Initials]]="IE",$AE$13,IF(Table1[[#This Row],[Initials]]="JM",$AE$14,1))))</f>
        <v>0.5</v>
      </c>
      <c r="V547" s="3">
        <f>Table1[[#This Row],[FTE %]]*Table1[[#This Row],[Time Worked]]</f>
        <v>0.25</v>
      </c>
      <c r="W547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547" s="38">
        <f t="shared" si="72"/>
        <v>0</v>
      </c>
      <c r="Y547" s="18">
        <f t="shared" si="73"/>
        <v>0</v>
      </c>
    </row>
    <row r="548" spans="1:25" x14ac:dyDescent="0.25">
      <c r="A548" s="10">
        <f t="shared" si="75"/>
        <v>547</v>
      </c>
      <c r="B548" s="6" t="str">
        <f t="shared" si="67"/>
        <v>8820192648RM</v>
      </c>
      <c r="C548" s="1" t="s">
        <v>995</v>
      </c>
      <c r="D548" s="1" t="s">
        <v>996</v>
      </c>
      <c r="E548" s="53" t="str">
        <f t="shared" si="68"/>
        <v>Write Off</v>
      </c>
      <c r="F548" s="1">
        <v>2648</v>
      </c>
      <c r="G548" s="37" t="str">
        <f>VLOOKUP(Table1[[#This Row],[WO'#]],Table2[#All],2,FALSE)</f>
        <v>Outreach Opportunities FY20</v>
      </c>
      <c r="H548" s="20" t="s">
        <v>996</v>
      </c>
      <c r="I548" s="2">
        <v>43685</v>
      </c>
      <c r="J548" s="4">
        <f t="shared" si="69"/>
        <v>8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3">
        <v>0.5</v>
      </c>
      <c r="Q548" s="3">
        <f t="shared" si="70"/>
        <v>0.5</v>
      </c>
      <c r="R548" s="1" t="s">
        <v>17</v>
      </c>
      <c r="S548" s="1" t="s">
        <v>23</v>
      </c>
      <c r="T548" s="3">
        <f t="shared" si="71"/>
        <v>0</v>
      </c>
      <c r="U548" s="44">
        <f>IF(Table1[[#This Row],[Initials]]="RM",$AE$10,IF(Table1[[#This Row],[Initials]]="JPH",$AE$11,IF(Table1[[#This Row],[Initials]]="IE",$AE$13,IF(Table1[[#This Row],[Initials]]="JM",$AE$14,1))))</f>
        <v>0.5</v>
      </c>
      <c r="V548" s="3">
        <f>Table1[[#This Row],[FTE %]]*Table1[[#This Row],[Time Worked]]</f>
        <v>0.25</v>
      </c>
      <c r="W548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15.4825</v>
      </c>
      <c r="X548" s="38">
        <f t="shared" si="72"/>
        <v>0</v>
      </c>
      <c r="Y548" s="18">
        <f t="shared" si="73"/>
        <v>0</v>
      </c>
    </row>
    <row r="549" spans="1:25" x14ac:dyDescent="0.25">
      <c r="A549" s="10">
        <f t="shared" si="75"/>
        <v>548</v>
      </c>
      <c r="B549" s="6" t="str">
        <f t="shared" si="67"/>
        <v>81420192648JM</v>
      </c>
      <c r="C549" s="1" t="s">
        <v>995</v>
      </c>
      <c r="D549" s="1" t="s">
        <v>996</v>
      </c>
      <c r="E549" s="53" t="str">
        <f t="shared" si="68"/>
        <v>Write Off</v>
      </c>
      <c r="F549" s="1">
        <v>2648</v>
      </c>
      <c r="G549" s="37" t="str">
        <f>VLOOKUP(Table1[[#This Row],[WO'#]],Table2[#All],2,FALSE)</f>
        <v>Outreach Opportunities FY20</v>
      </c>
      <c r="H549" s="20" t="s">
        <v>996</v>
      </c>
      <c r="I549" s="2">
        <v>43691</v>
      </c>
      <c r="J549" s="4">
        <f t="shared" si="69"/>
        <v>14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3</v>
      </c>
      <c r="Q549" s="3">
        <f t="shared" si="70"/>
        <v>3</v>
      </c>
      <c r="R549" s="1" t="s">
        <v>972</v>
      </c>
      <c r="S549" s="1" t="s">
        <v>23</v>
      </c>
      <c r="T549" s="3">
        <f t="shared" si="71"/>
        <v>0</v>
      </c>
      <c r="U549" s="44">
        <f>IF(Table1[[#This Row],[Initials]]="RM",$AE$10,IF(Table1[[#This Row],[Initials]]="JPH",$AE$11,IF(Table1[[#This Row],[Initials]]="IE",$AE$13,IF(Table1[[#This Row],[Initials]]="JM",$AE$14,1))))</f>
        <v>0.39500000000000002</v>
      </c>
      <c r="V549" s="3">
        <f>Table1[[#This Row],[FTE %]]*Table1[[#This Row],[Time Worked]]</f>
        <v>1.1850000000000001</v>
      </c>
      <c r="W549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73.387050000000002</v>
      </c>
      <c r="X549" s="38">
        <f t="shared" si="72"/>
        <v>0</v>
      </c>
      <c r="Y549" s="18">
        <f t="shared" si="73"/>
        <v>0</v>
      </c>
    </row>
    <row r="550" spans="1:25" x14ac:dyDescent="0.25">
      <c r="A550" s="10">
        <f>IF(IFERROR(A549+1,1)=1,1,A549+1)</f>
        <v>549</v>
      </c>
      <c r="B550" s="6" t="str">
        <f t="shared" si="67"/>
        <v>82820192648RM</v>
      </c>
      <c r="C550" s="1" t="s">
        <v>995</v>
      </c>
      <c r="D550" s="1" t="s">
        <v>996</v>
      </c>
      <c r="E550" s="53" t="str">
        <f t="shared" si="68"/>
        <v>Write Off</v>
      </c>
      <c r="F550" s="1">
        <v>2648</v>
      </c>
      <c r="G550" s="37" t="str">
        <f>VLOOKUP(Table1[[#This Row],[WO'#]],Table2[#All],2,FALSE)</f>
        <v>Outreach Opportunities FY20</v>
      </c>
      <c r="H550" s="20" t="s">
        <v>996</v>
      </c>
      <c r="I550" s="2">
        <v>43705</v>
      </c>
      <c r="J550" s="4">
        <f t="shared" si="69"/>
        <v>28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3">
        <v>1.5</v>
      </c>
      <c r="Q550" s="3">
        <f t="shared" si="70"/>
        <v>1.5</v>
      </c>
      <c r="R550" s="1" t="s">
        <v>17</v>
      </c>
      <c r="S550" s="1" t="s">
        <v>23</v>
      </c>
      <c r="T550" s="3">
        <f t="shared" si="71"/>
        <v>0</v>
      </c>
      <c r="U550" s="44">
        <f>IF(Table1[[#This Row],[Initials]]="RM",$AE$10,IF(Table1[[#This Row],[Initials]]="JPH",$AE$11,IF(Table1[[#This Row],[Initials]]="IE",$AE$13,IF(Table1[[#This Row],[Initials]]="JM",$AE$14,1))))</f>
        <v>0.5</v>
      </c>
      <c r="V550" s="3">
        <f>Table1[[#This Row],[FTE %]]*Table1[[#This Row],[Time Worked]]</f>
        <v>0.75</v>
      </c>
      <c r="W550" s="3">
        <f>IF(OR(Table1[[#This Row],[Category]]="Annual",Table1[[#This Row],[Category]]="Comp",Table1[[#This Row],[Category]]="FMLA",Table1[[#This Row],[Category]]="Holiday",Table1[[#This Row],[Category]]="Sick",Table1[[#This Row],[Category]]="LWOP",Table1[[#This Row],[Category]]="WRITE OFF"),Table1[[#This Row],[FTE Total Hrs]]*$AD$7,Table1[[#This Row],[Time Worked]]*$AD$7)</f>
        <v>46.447499999999998</v>
      </c>
      <c r="X550" s="38">
        <f t="shared" si="72"/>
        <v>0</v>
      </c>
      <c r="Y550" s="18">
        <f t="shared" si="73"/>
        <v>0</v>
      </c>
    </row>
    <row r="551" spans="1:25" x14ac:dyDescent="0.25">
      <c r="A551">
        <f>SUBTOTAL(103,Table1['#])</f>
        <v>549</v>
      </c>
      <c r="C551"/>
      <c r="D551"/>
      <c r="E551"/>
      <c r="F551"/>
      <c r="G551" s="22"/>
      <c r="I551"/>
      <c r="K551"/>
      <c r="L551"/>
      <c r="M551"/>
      <c r="N551"/>
      <c r="O551"/>
      <c r="P551"/>
      <c r="Q551" s="3">
        <f>SUBTOTAL(109,Table1[Time Worked])</f>
        <v>1486.5944</v>
      </c>
      <c r="R551"/>
      <c r="S551"/>
      <c r="T551" s="3">
        <f>SUBTOTAL(109,Table1[Time Billed])</f>
        <v>428.34440000000001</v>
      </c>
      <c r="X551" s="27">
        <f>SUBTOTAL(109,Table1[Total NB])</f>
        <v>48561.827499999818</v>
      </c>
      <c r="Y551" s="19">
        <f>SUBTOTAL(109,Table1[Total Billed])</f>
        <v>26527.368692000015</v>
      </c>
    </row>
  </sheetData>
  <sortState xmlns:xlrd2="http://schemas.microsoft.com/office/spreadsheetml/2017/richdata2" ref="B2:Y1048576">
    <sortCondition ref="C1:C1048576"/>
    <sortCondition ref="F1:F1048576"/>
    <sortCondition ref="I1:I1048576"/>
    <sortCondition ref="R1:R1048576"/>
  </sortState>
  <conditionalFormatting sqref="Y1 P1:P1048576 T1:X1048576">
    <cfRule type="cellIs" dxfId="516" priority="5" operator="lessThan">
      <formula>0</formula>
    </cfRule>
  </conditionalFormatting>
  <conditionalFormatting sqref="K2:O1048576">
    <cfRule type="cellIs" dxfId="515" priority="2" operator="greaterThan">
      <formula>0</formula>
    </cfRule>
  </conditionalFormatting>
  <conditionalFormatting sqref="Q1:Q551">
    <cfRule type="cellIs" dxfId="514" priority="1" operator="lessThanOr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Sort">
                <anchor moveWithCells="1">
                  <from>
                    <xdr:col>25</xdr:col>
                    <xdr:colOff>19050</xdr:colOff>
                    <xdr:row>2</xdr:row>
                    <xdr:rowOff>0</xdr:rowOff>
                  </from>
                  <to>
                    <xdr:col>26</xdr:col>
                    <xdr:colOff>990600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M4"/>
  <sheetViews>
    <sheetView workbookViewId="0"/>
  </sheetViews>
  <sheetFormatPr defaultRowHeight="15" x14ac:dyDescent="0.25"/>
  <cols>
    <col min="1" max="12" width="12.7109375" customWidth="1"/>
    <col min="13" max="13" width="11.5703125" bestFit="1" customWidth="1"/>
  </cols>
  <sheetData>
    <row r="1" spans="1:13" x14ac:dyDescent="0.25">
      <c r="A1" s="60">
        <v>43647</v>
      </c>
      <c r="B1" s="60">
        <v>43678</v>
      </c>
      <c r="C1" s="60">
        <v>43709</v>
      </c>
      <c r="D1" s="60">
        <v>43739</v>
      </c>
      <c r="E1" s="60">
        <v>43770</v>
      </c>
      <c r="F1" s="60">
        <v>43800</v>
      </c>
      <c r="G1" s="60">
        <v>43831</v>
      </c>
      <c r="H1" s="60">
        <v>43862</v>
      </c>
      <c r="I1" s="60">
        <v>43891</v>
      </c>
      <c r="J1" s="60">
        <v>43922</v>
      </c>
      <c r="K1" s="60">
        <v>43952</v>
      </c>
      <c r="L1" s="60">
        <v>43983</v>
      </c>
    </row>
    <row r="2" spans="1:13" x14ac:dyDescent="0.25">
      <c r="A2" s="60">
        <v>43677</v>
      </c>
      <c r="B2" s="60">
        <v>43708</v>
      </c>
      <c r="C2" s="60">
        <v>43738</v>
      </c>
      <c r="D2" s="60">
        <v>43769</v>
      </c>
      <c r="E2" s="60">
        <v>43799</v>
      </c>
      <c r="F2" s="60">
        <v>43830</v>
      </c>
      <c r="G2" s="60">
        <v>43861</v>
      </c>
      <c r="H2" s="60">
        <v>43890</v>
      </c>
      <c r="I2" s="60">
        <v>43921</v>
      </c>
      <c r="J2" s="60">
        <v>43951</v>
      </c>
      <c r="K2" s="60">
        <v>43982</v>
      </c>
      <c r="L2" s="60">
        <v>44012</v>
      </c>
    </row>
    <row r="3" spans="1:13" x14ac:dyDescent="0.25">
      <c r="A3" s="59" t="s">
        <v>1012</v>
      </c>
      <c r="B3" s="59" t="s">
        <v>1013</v>
      </c>
      <c r="C3" s="59" t="s">
        <v>1014</v>
      </c>
      <c r="D3" s="59" t="s">
        <v>1015</v>
      </c>
      <c r="E3" s="59" t="s">
        <v>1016</v>
      </c>
      <c r="F3" s="59" t="s">
        <v>1017</v>
      </c>
      <c r="G3" s="59" t="s">
        <v>1018</v>
      </c>
      <c r="H3" s="59" t="s">
        <v>1019</v>
      </c>
      <c r="I3" s="59" t="s">
        <v>1020</v>
      </c>
      <c r="J3" s="59" t="s">
        <v>1021</v>
      </c>
      <c r="K3" s="59" t="s">
        <v>1022</v>
      </c>
      <c r="L3" s="59" t="s">
        <v>1023</v>
      </c>
      <c r="M3" s="59" t="s">
        <v>55</v>
      </c>
    </row>
    <row r="4" spans="1:13" x14ac:dyDescent="0.25">
      <c r="A4" s="8">
        <f>SUMIFS(Data!$Y:$Y,Data!$H:$H,"&gt;="&amp;A1,Data!$H:$H,"&lt;="&amp;A2)</f>
        <v>8701.1650000000081</v>
      </c>
      <c r="B4" s="8">
        <f>SUMIFS(Data!$Y:$Y,Data!$H:$H,"&gt;="&amp;B1,Data!$H:$H,"&lt;="&amp;B2)</f>
        <v>17826.20369200001</v>
      </c>
      <c r="C4" s="8">
        <f>SUMIFS(Data!$Y:$Y,Data!$H:$H,"&gt;="&amp;C1,Data!$H:$H,"&lt;="&amp;C2)</f>
        <v>0</v>
      </c>
      <c r="D4" s="8">
        <f>SUMIFS(Data!$Y:$Y,Data!$H:$H,"&gt;="&amp;D1,Data!$H:$H,"&lt;="&amp;D2)</f>
        <v>0</v>
      </c>
      <c r="E4" s="8">
        <f>SUMIFS(Data!$Y:$Y,Data!$H:$H,"&gt;="&amp;E1,Data!$H:$H,"&lt;="&amp;E2)</f>
        <v>0</v>
      </c>
      <c r="F4" s="8">
        <f>SUMIFS(Data!$Y:$Y,Data!$H:$H,"&gt;="&amp;F1,Data!$H:$H,"&lt;="&amp;F2)</f>
        <v>0</v>
      </c>
      <c r="G4" s="8">
        <f>SUMIFS(Data!$Y:$Y,Data!$H:$H,"&gt;="&amp;G1,Data!$H:$H,"&lt;="&amp;G2)</f>
        <v>0</v>
      </c>
      <c r="H4" s="8">
        <f>SUMIFS(Data!$Y:$Y,Data!$H:$H,"&gt;="&amp;H1,Data!$H:$H,"&lt;="&amp;H2)</f>
        <v>0</v>
      </c>
      <c r="I4" s="8">
        <f>SUMIFS(Data!$Y:$Y,Data!$H:$H,"&gt;="&amp;I1,Data!$H:$H,"&lt;="&amp;I2)</f>
        <v>0</v>
      </c>
      <c r="J4" s="8">
        <f>SUMIFS(Data!$Y:$Y,Data!$H:$H,"&gt;="&amp;J1,Data!$H:$H,"&lt;="&amp;J2)</f>
        <v>0</v>
      </c>
      <c r="K4" s="8">
        <f>SUMIFS(Data!$Y:$Y,Data!$H:$H,"&gt;="&amp;K1,Data!$H:$H,"&lt;="&amp;K2)</f>
        <v>0</v>
      </c>
      <c r="L4" s="8">
        <f>SUMIFS(Data!$Y:$Y,Data!$H:$H,"&gt;="&amp;L1,Data!$H:$H,"&lt;="&amp;L2)</f>
        <v>0</v>
      </c>
      <c r="M4" s="45">
        <f>SUM(A4:L4)</f>
        <v>26527.368692000018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B0F0"/>
  </sheetPr>
  <dimension ref="A1:I957"/>
  <sheetViews>
    <sheetView workbookViewId="0"/>
  </sheetViews>
  <sheetFormatPr defaultRowHeight="15" x14ac:dyDescent="0.25"/>
  <cols>
    <col min="2" max="2" width="43.5703125" bestFit="1" customWidth="1"/>
    <col min="3" max="3" width="12.7109375" style="20" bestFit="1" customWidth="1"/>
    <col min="4" max="4" width="11.5703125" style="20" bestFit="1" customWidth="1"/>
    <col min="5" max="5" width="11.5703125" style="1" bestFit="1" customWidth="1"/>
    <col min="6" max="6" width="9" bestFit="1" customWidth="1"/>
    <col min="7" max="7" width="2.5703125" customWidth="1"/>
    <col min="8" max="8" width="10" bestFit="1" customWidth="1"/>
  </cols>
  <sheetData>
    <row r="1" spans="1:9" x14ac:dyDescent="0.25">
      <c r="A1" t="s">
        <v>0</v>
      </c>
      <c r="B1" t="s">
        <v>54</v>
      </c>
      <c r="C1" s="20" t="s">
        <v>120</v>
      </c>
      <c r="D1" s="20" t="s">
        <v>911</v>
      </c>
      <c r="E1" s="20" t="s">
        <v>121</v>
      </c>
      <c r="F1" s="1" t="s">
        <v>118</v>
      </c>
    </row>
    <row r="2" spans="1:9" x14ac:dyDescent="0.25">
      <c r="A2">
        <v>1698</v>
      </c>
      <c r="B2" t="s">
        <v>943</v>
      </c>
      <c r="C2" s="20">
        <v>43466</v>
      </c>
      <c r="E2" s="20"/>
      <c r="F2" s="1" t="s">
        <v>137</v>
      </c>
      <c r="H2" s="62" t="s">
        <v>1028</v>
      </c>
      <c r="I2" s="63">
        <f>MAX(Table2[WO '#])+1</f>
        <v>2655</v>
      </c>
    </row>
    <row r="3" spans="1:9" x14ac:dyDescent="0.25">
      <c r="A3">
        <v>1699</v>
      </c>
      <c r="B3" t="s">
        <v>886</v>
      </c>
      <c r="C3" s="20">
        <v>42370</v>
      </c>
      <c r="E3" s="20">
        <v>42735</v>
      </c>
      <c r="F3" s="1" t="s">
        <v>122</v>
      </c>
    </row>
    <row r="4" spans="1:9" x14ac:dyDescent="0.25">
      <c r="A4">
        <v>1700</v>
      </c>
      <c r="B4" t="s">
        <v>887</v>
      </c>
      <c r="C4" s="20">
        <v>42370</v>
      </c>
      <c r="E4" s="20">
        <v>42735</v>
      </c>
      <c r="F4" s="1" t="s">
        <v>122</v>
      </c>
    </row>
    <row r="5" spans="1:9" x14ac:dyDescent="0.25">
      <c r="A5">
        <v>1701</v>
      </c>
      <c r="B5" t="s">
        <v>888</v>
      </c>
      <c r="C5" s="20">
        <v>42370</v>
      </c>
      <c r="E5" s="20">
        <v>42735</v>
      </c>
      <c r="F5" s="1" t="s">
        <v>122</v>
      </c>
    </row>
    <row r="6" spans="1:9" x14ac:dyDescent="0.25">
      <c r="A6">
        <v>1702</v>
      </c>
      <c r="B6" t="s">
        <v>889</v>
      </c>
      <c r="C6" s="20">
        <v>42370</v>
      </c>
      <c r="E6" s="20">
        <v>42735</v>
      </c>
      <c r="F6" s="1" t="s">
        <v>122</v>
      </c>
    </row>
    <row r="7" spans="1:9" x14ac:dyDescent="0.25">
      <c r="A7">
        <v>1703</v>
      </c>
      <c r="B7" t="s">
        <v>890</v>
      </c>
      <c r="C7" s="20">
        <v>42370</v>
      </c>
      <c r="E7" s="20">
        <v>42735</v>
      </c>
      <c r="F7" s="1" t="s">
        <v>122</v>
      </c>
    </row>
    <row r="8" spans="1:9" x14ac:dyDescent="0.25">
      <c r="A8">
        <v>1704</v>
      </c>
      <c r="B8" t="s">
        <v>891</v>
      </c>
      <c r="C8" s="20">
        <v>42370</v>
      </c>
      <c r="E8" s="20">
        <v>42735</v>
      </c>
      <c r="F8" s="1" t="s">
        <v>122</v>
      </c>
    </row>
    <row r="9" spans="1:9" x14ac:dyDescent="0.25">
      <c r="A9">
        <v>1705</v>
      </c>
      <c r="B9" t="s">
        <v>892</v>
      </c>
      <c r="C9" s="20">
        <v>42736</v>
      </c>
      <c r="E9" s="20">
        <v>42916</v>
      </c>
      <c r="F9" s="1" t="s">
        <v>122</v>
      </c>
    </row>
    <row r="10" spans="1:9" x14ac:dyDescent="0.25">
      <c r="A10">
        <v>1706</v>
      </c>
      <c r="B10" t="s">
        <v>893</v>
      </c>
      <c r="C10" s="20">
        <v>42736</v>
      </c>
      <c r="E10" s="20">
        <v>42916</v>
      </c>
      <c r="F10" s="1" t="s">
        <v>122</v>
      </c>
    </row>
    <row r="11" spans="1:9" x14ac:dyDescent="0.25">
      <c r="A11">
        <v>1707</v>
      </c>
      <c r="B11" t="s">
        <v>894</v>
      </c>
      <c r="C11" s="20">
        <v>42736</v>
      </c>
      <c r="E11" s="20">
        <v>42916</v>
      </c>
      <c r="F11" s="1" t="s">
        <v>122</v>
      </c>
    </row>
    <row r="12" spans="1:9" x14ac:dyDescent="0.25">
      <c r="A12">
        <v>1708</v>
      </c>
      <c r="B12" t="s">
        <v>895</v>
      </c>
      <c r="C12" s="20">
        <v>42736</v>
      </c>
      <c r="E12" s="20">
        <v>42916</v>
      </c>
      <c r="F12" s="1" t="s">
        <v>122</v>
      </c>
    </row>
    <row r="13" spans="1:9" x14ac:dyDescent="0.25">
      <c r="A13">
        <v>1709</v>
      </c>
      <c r="B13" t="s">
        <v>896</v>
      </c>
      <c r="C13" s="20">
        <v>42736</v>
      </c>
      <c r="E13" s="20">
        <v>42916</v>
      </c>
      <c r="F13" s="1" t="s">
        <v>122</v>
      </c>
    </row>
    <row r="14" spans="1:9" x14ac:dyDescent="0.25">
      <c r="A14">
        <v>1710</v>
      </c>
      <c r="B14" t="s">
        <v>897</v>
      </c>
      <c r="C14" s="20">
        <v>42736</v>
      </c>
      <c r="E14" s="20">
        <v>42916</v>
      </c>
      <c r="F14" s="1" t="s">
        <v>122</v>
      </c>
    </row>
    <row r="15" spans="1:9" x14ac:dyDescent="0.25">
      <c r="A15">
        <v>1711</v>
      </c>
      <c r="B15" t="s">
        <v>898</v>
      </c>
      <c r="C15" s="20">
        <v>42917</v>
      </c>
      <c r="E15" s="20">
        <v>43281</v>
      </c>
      <c r="F15" s="1" t="s">
        <v>122</v>
      </c>
    </row>
    <row r="16" spans="1:9" x14ac:dyDescent="0.25">
      <c r="A16">
        <v>1712</v>
      </c>
      <c r="B16" t="s">
        <v>899</v>
      </c>
      <c r="C16" s="20">
        <v>42917</v>
      </c>
      <c r="E16" s="20">
        <v>43281</v>
      </c>
      <c r="F16" s="1" t="s">
        <v>122</v>
      </c>
    </row>
    <row r="17" spans="1:6" x14ac:dyDescent="0.25">
      <c r="A17">
        <v>1713</v>
      </c>
      <c r="B17" t="s">
        <v>900</v>
      </c>
      <c r="C17" s="20">
        <v>42917</v>
      </c>
      <c r="E17" s="20">
        <v>43281</v>
      </c>
      <c r="F17" s="1" t="s">
        <v>122</v>
      </c>
    </row>
    <row r="18" spans="1:6" x14ac:dyDescent="0.25">
      <c r="A18">
        <v>1714</v>
      </c>
      <c r="B18" t="s">
        <v>901</v>
      </c>
      <c r="C18" s="20">
        <v>42917</v>
      </c>
      <c r="E18" s="20">
        <v>43281</v>
      </c>
      <c r="F18" s="1" t="s">
        <v>122</v>
      </c>
    </row>
    <row r="19" spans="1:6" x14ac:dyDescent="0.25">
      <c r="A19">
        <v>1715</v>
      </c>
      <c r="B19" t="s">
        <v>902</v>
      </c>
      <c r="C19" s="20">
        <v>42917</v>
      </c>
      <c r="E19" s="20">
        <v>43281</v>
      </c>
      <c r="F19" s="1" t="s">
        <v>122</v>
      </c>
    </row>
    <row r="20" spans="1:6" x14ac:dyDescent="0.25">
      <c r="A20">
        <v>1716</v>
      </c>
      <c r="B20" t="s">
        <v>903</v>
      </c>
      <c r="C20" s="20">
        <v>42917</v>
      </c>
      <c r="E20" s="20">
        <v>43281</v>
      </c>
      <c r="F20" s="1" t="s">
        <v>122</v>
      </c>
    </row>
    <row r="21" spans="1:6" x14ac:dyDescent="0.25">
      <c r="A21">
        <v>1717</v>
      </c>
      <c r="B21" t="s">
        <v>904</v>
      </c>
      <c r="C21" s="20">
        <v>43282</v>
      </c>
      <c r="D21" s="20">
        <v>43646</v>
      </c>
      <c r="E21" s="20">
        <v>43655</v>
      </c>
      <c r="F21" s="1" t="s">
        <v>122</v>
      </c>
    </row>
    <row r="22" spans="1:6" x14ac:dyDescent="0.25">
      <c r="A22">
        <v>1718</v>
      </c>
      <c r="B22" t="s">
        <v>905</v>
      </c>
      <c r="C22" s="20">
        <v>43282</v>
      </c>
      <c r="D22" s="20">
        <v>43646</v>
      </c>
      <c r="E22" s="20">
        <v>43655</v>
      </c>
      <c r="F22" s="1" t="s">
        <v>122</v>
      </c>
    </row>
    <row r="23" spans="1:6" x14ac:dyDescent="0.25">
      <c r="A23">
        <v>1719</v>
      </c>
      <c r="B23" t="s">
        <v>906</v>
      </c>
      <c r="C23" s="20">
        <v>43282</v>
      </c>
      <c r="D23" s="20">
        <v>43646</v>
      </c>
      <c r="E23" s="20">
        <v>43655</v>
      </c>
      <c r="F23" s="1" t="s">
        <v>122</v>
      </c>
    </row>
    <row r="24" spans="1:6" x14ac:dyDescent="0.25">
      <c r="A24">
        <v>1720</v>
      </c>
      <c r="B24" t="s">
        <v>907</v>
      </c>
      <c r="C24" s="20">
        <v>43282</v>
      </c>
      <c r="D24" s="20">
        <v>43646</v>
      </c>
      <c r="E24" s="20">
        <v>43655</v>
      </c>
      <c r="F24" s="1" t="s">
        <v>122</v>
      </c>
    </row>
    <row r="25" spans="1:6" x14ac:dyDescent="0.25">
      <c r="A25">
        <v>1721</v>
      </c>
      <c r="B25" t="s">
        <v>908</v>
      </c>
      <c r="C25" s="20">
        <v>43282</v>
      </c>
      <c r="D25" s="20">
        <v>43646</v>
      </c>
      <c r="E25" s="20">
        <v>43655</v>
      </c>
      <c r="F25" s="1" t="s">
        <v>122</v>
      </c>
    </row>
    <row r="26" spans="1:6" x14ac:dyDescent="0.25">
      <c r="A26">
        <v>1722</v>
      </c>
      <c r="B26" t="s">
        <v>909</v>
      </c>
      <c r="C26" s="20">
        <v>43282</v>
      </c>
      <c r="D26" s="20">
        <v>43646</v>
      </c>
      <c r="E26" s="20">
        <v>43655</v>
      </c>
      <c r="F26" s="1" t="s">
        <v>122</v>
      </c>
    </row>
    <row r="27" spans="1:6" x14ac:dyDescent="0.25">
      <c r="A27">
        <v>1723</v>
      </c>
      <c r="B27" t="s">
        <v>140</v>
      </c>
      <c r="C27" s="20">
        <v>38819</v>
      </c>
      <c r="E27" s="20">
        <v>38833</v>
      </c>
      <c r="F27" s="1" t="s">
        <v>122</v>
      </c>
    </row>
    <row r="28" spans="1:6" x14ac:dyDescent="0.25">
      <c r="A28">
        <v>1724</v>
      </c>
      <c r="B28" t="s">
        <v>867</v>
      </c>
      <c r="C28" s="20">
        <v>38819</v>
      </c>
      <c r="E28" s="20">
        <v>38821</v>
      </c>
      <c r="F28" s="1" t="s">
        <v>122</v>
      </c>
    </row>
    <row r="29" spans="1:6" x14ac:dyDescent="0.25">
      <c r="A29">
        <v>1726</v>
      </c>
      <c r="B29" t="s">
        <v>868</v>
      </c>
      <c r="C29" s="20">
        <v>38826</v>
      </c>
      <c r="E29" s="20">
        <v>38828</v>
      </c>
      <c r="F29" s="1" t="s">
        <v>122</v>
      </c>
    </row>
    <row r="30" spans="1:6" x14ac:dyDescent="0.25">
      <c r="A30">
        <v>1727</v>
      </c>
      <c r="B30" t="s">
        <v>869</v>
      </c>
      <c r="C30" s="20">
        <v>38840</v>
      </c>
      <c r="E30" s="20">
        <v>38868</v>
      </c>
      <c r="F30" s="1" t="s">
        <v>122</v>
      </c>
    </row>
    <row r="31" spans="1:6" x14ac:dyDescent="0.25">
      <c r="A31">
        <v>1728</v>
      </c>
      <c r="B31" t="s">
        <v>870</v>
      </c>
      <c r="C31" s="20">
        <v>38845</v>
      </c>
      <c r="E31" s="20">
        <v>39210</v>
      </c>
      <c r="F31" s="1" t="s">
        <v>122</v>
      </c>
    </row>
    <row r="32" spans="1:6" x14ac:dyDescent="0.25">
      <c r="A32">
        <v>1729</v>
      </c>
      <c r="B32" t="s">
        <v>141</v>
      </c>
      <c r="C32" s="20">
        <v>38853</v>
      </c>
      <c r="E32" s="20">
        <v>38868</v>
      </c>
      <c r="F32" s="1" t="s">
        <v>122</v>
      </c>
    </row>
    <row r="33" spans="1:6" x14ac:dyDescent="0.25">
      <c r="A33">
        <v>1730</v>
      </c>
      <c r="B33" t="s">
        <v>142</v>
      </c>
      <c r="C33" s="20">
        <v>38848</v>
      </c>
      <c r="E33" s="20">
        <v>38898</v>
      </c>
      <c r="F33" s="1" t="s">
        <v>122</v>
      </c>
    </row>
    <row r="34" spans="1:6" x14ac:dyDescent="0.25">
      <c r="A34">
        <v>1731</v>
      </c>
      <c r="B34" t="s">
        <v>143</v>
      </c>
      <c r="C34" s="20">
        <v>38854</v>
      </c>
      <c r="E34" s="20">
        <v>38874</v>
      </c>
      <c r="F34" s="1" t="s">
        <v>122</v>
      </c>
    </row>
    <row r="35" spans="1:6" x14ac:dyDescent="0.25">
      <c r="A35">
        <v>1732</v>
      </c>
      <c r="B35" t="s">
        <v>144</v>
      </c>
      <c r="C35" s="20">
        <v>38855</v>
      </c>
      <c r="E35" s="20">
        <v>39220</v>
      </c>
      <c r="F35" s="1" t="s">
        <v>122</v>
      </c>
    </row>
    <row r="36" spans="1:6" x14ac:dyDescent="0.25">
      <c r="A36">
        <v>1733</v>
      </c>
      <c r="B36" t="s">
        <v>145</v>
      </c>
      <c r="C36" s="20">
        <v>38860</v>
      </c>
      <c r="E36" s="20">
        <v>38863</v>
      </c>
      <c r="F36" s="1" t="s">
        <v>122</v>
      </c>
    </row>
    <row r="37" spans="1:6" x14ac:dyDescent="0.25">
      <c r="A37">
        <v>1734</v>
      </c>
      <c r="B37" t="s">
        <v>146</v>
      </c>
      <c r="C37" s="20">
        <v>38867</v>
      </c>
      <c r="E37" s="20">
        <v>38870</v>
      </c>
      <c r="F37" s="1" t="s">
        <v>122</v>
      </c>
    </row>
    <row r="38" spans="1:6" x14ac:dyDescent="0.25">
      <c r="A38">
        <v>1735</v>
      </c>
      <c r="B38" t="s">
        <v>147</v>
      </c>
      <c r="C38" s="20">
        <v>38868</v>
      </c>
      <c r="E38" s="20">
        <v>39233</v>
      </c>
      <c r="F38" s="1" t="s">
        <v>122</v>
      </c>
    </row>
    <row r="39" spans="1:6" x14ac:dyDescent="0.25">
      <c r="A39">
        <v>1736</v>
      </c>
      <c r="B39" t="s">
        <v>148</v>
      </c>
      <c r="C39" s="20">
        <v>38881</v>
      </c>
      <c r="E39" s="20">
        <v>38954</v>
      </c>
      <c r="F39" s="1" t="s">
        <v>122</v>
      </c>
    </row>
    <row r="40" spans="1:6" x14ac:dyDescent="0.25">
      <c r="A40">
        <v>1737</v>
      </c>
      <c r="B40" t="s">
        <v>149</v>
      </c>
      <c r="C40" s="20">
        <v>38881</v>
      </c>
      <c r="E40" s="20">
        <v>38899</v>
      </c>
      <c r="F40" s="1" t="s">
        <v>122</v>
      </c>
    </row>
    <row r="41" spans="1:6" x14ac:dyDescent="0.25">
      <c r="A41">
        <v>1738</v>
      </c>
      <c r="B41" t="s">
        <v>150</v>
      </c>
      <c r="C41" s="20">
        <v>38880</v>
      </c>
      <c r="E41" s="20">
        <v>38910</v>
      </c>
      <c r="F41" s="1" t="s">
        <v>122</v>
      </c>
    </row>
    <row r="42" spans="1:6" x14ac:dyDescent="0.25">
      <c r="A42">
        <v>1739</v>
      </c>
      <c r="B42" t="s">
        <v>151</v>
      </c>
      <c r="C42" s="20">
        <v>38888</v>
      </c>
      <c r="E42" s="20">
        <v>38918</v>
      </c>
      <c r="F42" s="1" t="s">
        <v>122</v>
      </c>
    </row>
    <row r="43" spans="1:6" x14ac:dyDescent="0.25">
      <c r="A43">
        <v>1740</v>
      </c>
      <c r="B43" t="s">
        <v>152</v>
      </c>
      <c r="C43" s="20">
        <v>38888</v>
      </c>
      <c r="E43" s="20">
        <v>38898</v>
      </c>
      <c r="F43" s="1" t="s">
        <v>122</v>
      </c>
    </row>
    <row r="44" spans="1:6" x14ac:dyDescent="0.25">
      <c r="A44">
        <v>1741</v>
      </c>
      <c r="B44" t="s">
        <v>153</v>
      </c>
      <c r="C44" s="20">
        <v>38888</v>
      </c>
      <c r="E44" s="20">
        <v>38898</v>
      </c>
      <c r="F44" s="1" t="s">
        <v>122</v>
      </c>
    </row>
    <row r="45" spans="1:6" x14ac:dyDescent="0.25">
      <c r="A45">
        <v>1742</v>
      </c>
      <c r="B45" t="s">
        <v>154</v>
      </c>
      <c r="C45" s="20">
        <v>38887</v>
      </c>
      <c r="E45" s="20">
        <v>38898</v>
      </c>
      <c r="F45" s="1" t="s">
        <v>122</v>
      </c>
    </row>
    <row r="46" spans="1:6" x14ac:dyDescent="0.25">
      <c r="A46">
        <v>1743</v>
      </c>
      <c r="B46" t="s">
        <v>155</v>
      </c>
      <c r="C46" s="20">
        <v>38901</v>
      </c>
      <c r="E46" s="20">
        <v>38928</v>
      </c>
      <c r="F46" s="1" t="s">
        <v>122</v>
      </c>
    </row>
    <row r="47" spans="1:6" x14ac:dyDescent="0.25">
      <c r="A47">
        <v>1744</v>
      </c>
      <c r="B47" t="s">
        <v>156</v>
      </c>
      <c r="C47" s="20">
        <v>38903</v>
      </c>
      <c r="E47" s="20">
        <v>38930</v>
      </c>
      <c r="F47" s="1" t="s">
        <v>122</v>
      </c>
    </row>
    <row r="48" spans="1:6" x14ac:dyDescent="0.25">
      <c r="A48">
        <v>1745</v>
      </c>
      <c r="B48" t="s">
        <v>871</v>
      </c>
      <c r="C48" s="20">
        <v>38910</v>
      </c>
      <c r="E48" s="20">
        <v>38910</v>
      </c>
      <c r="F48" s="1" t="s">
        <v>122</v>
      </c>
    </row>
    <row r="49" spans="1:6" x14ac:dyDescent="0.25">
      <c r="A49">
        <v>1746</v>
      </c>
      <c r="B49" t="s">
        <v>872</v>
      </c>
      <c r="C49" s="20">
        <v>38912</v>
      </c>
      <c r="E49" s="20">
        <v>38943</v>
      </c>
      <c r="F49" s="1" t="s">
        <v>122</v>
      </c>
    </row>
    <row r="50" spans="1:6" x14ac:dyDescent="0.25">
      <c r="A50">
        <v>1747</v>
      </c>
      <c r="B50" t="s">
        <v>157</v>
      </c>
      <c r="C50" s="20">
        <v>38923</v>
      </c>
      <c r="E50" s="20">
        <v>38954</v>
      </c>
      <c r="F50" s="1" t="s">
        <v>122</v>
      </c>
    </row>
    <row r="51" spans="1:6" x14ac:dyDescent="0.25">
      <c r="A51">
        <v>1748</v>
      </c>
      <c r="B51" t="s">
        <v>158</v>
      </c>
      <c r="C51" s="20">
        <v>38923</v>
      </c>
      <c r="E51" s="20">
        <v>38954</v>
      </c>
      <c r="F51" s="1" t="s">
        <v>122</v>
      </c>
    </row>
    <row r="52" spans="1:6" x14ac:dyDescent="0.25">
      <c r="A52">
        <v>1749</v>
      </c>
      <c r="B52" t="s">
        <v>159</v>
      </c>
      <c r="C52" s="20">
        <v>38923</v>
      </c>
      <c r="E52" s="20">
        <v>38954</v>
      </c>
      <c r="F52" s="1" t="s">
        <v>122</v>
      </c>
    </row>
    <row r="53" spans="1:6" x14ac:dyDescent="0.25">
      <c r="A53">
        <v>1750</v>
      </c>
      <c r="B53" t="s">
        <v>873</v>
      </c>
      <c r="C53" s="20">
        <v>38937</v>
      </c>
      <c r="E53" s="20">
        <v>39302</v>
      </c>
      <c r="F53" s="1" t="s">
        <v>122</v>
      </c>
    </row>
    <row r="54" spans="1:6" x14ac:dyDescent="0.25">
      <c r="A54">
        <v>1751</v>
      </c>
      <c r="B54" t="s">
        <v>874</v>
      </c>
      <c r="C54" s="20">
        <v>38938</v>
      </c>
      <c r="E54" s="20">
        <v>39303</v>
      </c>
      <c r="F54" s="1" t="s">
        <v>122</v>
      </c>
    </row>
    <row r="55" spans="1:6" x14ac:dyDescent="0.25">
      <c r="A55">
        <v>1752</v>
      </c>
      <c r="B55" t="s">
        <v>875</v>
      </c>
      <c r="C55" s="20">
        <v>38938</v>
      </c>
      <c r="E55" s="20">
        <v>39303</v>
      </c>
      <c r="F55" s="1" t="s">
        <v>122</v>
      </c>
    </row>
    <row r="56" spans="1:6" x14ac:dyDescent="0.25">
      <c r="A56">
        <v>1753</v>
      </c>
      <c r="B56" t="s">
        <v>160</v>
      </c>
      <c r="C56" s="20">
        <v>38940</v>
      </c>
      <c r="E56" s="20">
        <v>38968</v>
      </c>
      <c r="F56" s="1" t="s">
        <v>122</v>
      </c>
    </row>
    <row r="57" spans="1:6" x14ac:dyDescent="0.25">
      <c r="A57">
        <v>1754</v>
      </c>
      <c r="B57" t="s">
        <v>161</v>
      </c>
      <c r="C57" s="20">
        <v>38943</v>
      </c>
      <c r="E57" s="20">
        <v>38974</v>
      </c>
      <c r="F57" s="1" t="s">
        <v>122</v>
      </c>
    </row>
    <row r="58" spans="1:6" x14ac:dyDescent="0.25">
      <c r="A58">
        <v>1755</v>
      </c>
      <c r="B58" t="s">
        <v>162</v>
      </c>
      <c r="C58" s="20">
        <v>38944</v>
      </c>
      <c r="E58" s="20">
        <v>38975</v>
      </c>
      <c r="F58" s="1" t="s">
        <v>122</v>
      </c>
    </row>
    <row r="59" spans="1:6" x14ac:dyDescent="0.25">
      <c r="A59">
        <v>1756</v>
      </c>
      <c r="B59" t="s">
        <v>163</v>
      </c>
      <c r="C59" s="20">
        <v>38958</v>
      </c>
      <c r="E59" s="20">
        <v>39005</v>
      </c>
      <c r="F59" s="1" t="s">
        <v>122</v>
      </c>
    </row>
    <row r="60" spans="1:6" x14ac:dyDescent="0.25">
      <c r="A60">
        <v>1757</v>
      </c>
      <c r="B60" t="s">
        <v>164</v>
      </c>
      <c r="C60" s="20">
        <v>38944</v>
      </c>
      <c r="E60" s="20">
        <v>38975</v>
      </c>
      <c r="F60" s="1" t="s">
        <v>122</v>
      </c>
    </row>
    <row r="61" spans="1:6" x14ac:dyDescent="0.25">
      <c r="A61">
        <v>1758</v>
      </c>
      <c r="B61" t="s">
        <v>165</v>
      </c>
      <c r="C61" s="20">
        <v>38939</v>
      </c>
      <c r="E61" s="20">
        <v>38967</v>
      </c>
      <c r="F61" s="1" t="s">
        <v>122</v>
      </c>
    </row>
    <row r="62" spans="1:6" x14ac:dyDescent="0.25">
      <c r="A62">
        <v>1759</v>
      </c>
      <c r="B62" t="s">
        <v>166</v>
      </c>
      <c r="C62" s="20">
        <v>38958</v>
      </c>
      <c r="E62" s="20">
        <v>38966</v>
      </c>
      <c r="F62" s="1" t="s">
        <v>122</v>
      </c>
    </row>
    <row r="63" spans="1:6" x14ac:dyDescent="0.25">
      <c r="A63">
        <v>1760</v>
      </c>
      <c r="B63" t="s">
        <v>167</v>
      </c>
      <c r="C63" s="20">
        <v>38938</v>
      </c>
      <c r="E63" s="20">
        <v>38961</v>
      </c>
      <c r="F63" s="1" t="s">
        <v>122</v>
      </c>
    </row>
    <row r="64" spans="1:6" x14ac:dyDescent="0.25">
      <c r="A64">
        <v>1761</v>
      </c>
      <c r="B64" t="s">
        <v>168</v>
      </c>
      <c r="C64" s="20">
        <v>38937</v>
      </c>
      <c r="E64" s="20">
        <v>38961</v>
      </c>
      <c r="F64" s="1" t="s">
        <v>122</v>
      </c>
    </row>
    <row r="65" spans="1:6" x14ac:dyDescent="0.25">
      <c r="A65">
        <v>1762</v>
      </c>
      <c r="B65" t="s">
        <v>169</v>
      </c>
      <c r="C65" s="20">
        <v>38930</v>
      </c>
      <c r="E65" s="20">
        <v>38967</v>
      </c>
      <c r="F65" s="1" t="s">
        <v>122</v>
      </c>
    </row>
    <row r="66" spans="1:6" x14ac:dyDescent="0.25">
      <c r="A66">
        <v>1763</v>
      </c>
      <c r="B66" t="s">
        <v>170</v>
      </c>
      <c r="C66" s="20">
        <v>38959</v>
      </c>
      <c r="E66" s="20">
        <v>39005</v>
      </c>
      <c r="F66" s="1" t="s">
        <v>122</v>
      </c>
    </row>
    <row r="67" spans="1:6" x14ac:dyDescent="0.25">
      <c r="A67">
        <v>1764</v>
      </c>
      <c r="B67" t="s">
        <v>171</v>
      </c>
      <c r="C67" s="20">
        <v>38938</v>
      </c>
      <c r="E67" s="20">
        <v>38961</v>
      </c>
      <c r="F67" s="1" t="s">
        <v>122</v>
      </c>
    </row>
    <row r="68" spans="1:6" x14ac:dyDescent="0.25">
      <c r="A68">
        <v>1765</v>
      </c>
      <c r="B68" t="s">
        <v>172</v>
      </c>
      <c r="C68" s="20">
        <v>38951</v>
      </c>
      <c r="E68" s="20">
        <v>38975</v>
      </c>
      <c r="F68" s="1" t="s">
        <v>122</v>
      </c>
    </row>
    <row r="69" spans="1:6" x14ac:dyDescent="0.25">
      <c r="A69">
        <v>1766</v>
      </c>
      <c r="B69" t="s">
        <v>173</v>
      </c>
      <c r="C69" s="20">
        <v>38947</v>
      </c>
      <c r="E69" s="20">
        <v>39553</v>
      </c>
      <c r="F69" s="1" t="s">
        <v>122</v>
      </c>
    </row>
    <row r="70" spans="1:6" x14ac:dyDescent="0.25">
      <c r="A70">
        <v>1767</v>
      </c>
      <c r="B70" t="s">
        <v>174</v>
      </c>
      <c r="C70" s="20">
        <v>38930</v>
      </c>
      <c r="E70" s="20">
        <v>38975</v>
      </c>
      <c r="F70" s="1" t="s">
        <v>122</v>
      </c>
    </row>
    <row r="71" spans="1:6" x14ac:dyDescent="0.25">
      <c r="A71">
        <v>1768</v>
      </c>
      <c r="B71" t="s">
        <v>175</v>
      </c>
      <c r="C71" s="20">
        <v>38563</v>
      </c>
      <c r="E71" s="20">
        <v>38579</v>
      </c>
      <c r="F71" s="1" t="s">
        <v>122</v>
      </c>
    </row>
    <row r="72" spans="1:6" x14ac:dyDescent="0.25">
      <c r="A72">
        <v>1769</v>
      </c>
      <c r="B72" t="s">
        <v>176</v>
      </c>
      <c r="C72" s="20">
        <v>38777</v>
      </c>
      <c r="E72" s="20">
        <v>38869</v>
      </c>
      <c r="F72" s="1" t="s">
        <v>122</v>
      </c>
    </row>
    <row r="73" spans="1:6" x14ac:dyDescent="0.25">
      <c r="A73">
        <v>1770</v>
      </c>
      <c r="B73" t="s">
        <v>177</v>
      </c>
      <c r="C73" s="20">
        <v>38563</v>
      </c>
      <c r="E73" s="20">
        <v>38930</v>
      </c>
      <c r="F73" s="1" t="s">
        <v>122</v>
      </c>
    </row>
    <row r="74" spans="1:6" x14ac:dyDescent="0.25">
      <c r="A74">
        <v>1771</v>
      </c>
      <c r="B74" t="s">
        <v>178</v>
      </c>
      <c r="C74" s="20">
        <v>38930</v>
      </c>
      <c r="E74" s="20">
        <v>38961</v>
      </c>
      <c r="F74" s="1" t="s">
        <v>122</v>
      </c>
    </row>
    <row r="75" spans="1:6" x14ac:dyDescent="0.25">
      <c r="A75">
        <v>1772</v>
      </c>
      <c r="B75" t="s">
        <v>179</v>
      </c>
      <c r="C75" s="20">
        <v>38565</v>
      </c>
      <c r="E75" s="20">
        <v>39295</v>
      </c>
      <c r="F75" s="1" t="s">
        <v>122</v>
      </c>
    </row>
    <row r="76" spans="1:6" x14ac:dyDescent="0.25">
      <c r="A76">
        <v>1773</v>
      </c>
      <c r="B76" t="s">
        <v>180</v>
      </c>
      <c r="C76" s="20">
        <v>38966</v>
      </c>
      <c r="E76" s="20">
        <v>39021</v>
      </c>
      <c r="F76" s="1" t="s">
        <v>122</v>
      </c>
    </row>
    <row r="77" spans="1:6" x14ac:dyDescent="0.25">
      <c r="A77">
        <v>1774</v>
      </c>
      <c r="B77" t="s">
        <v>181</v>
      </c>
      <c r="C77" s="20">
        <v>38967</v>
      </c>
      <c r="E77" s="20">
        <v>38997</v>
      </c>
      <c r="F77" s="1" t="s">
        <v>122</v>
      </c>
    </row>
    <row r="78" spans="1:6" x14ac:dyDescent="0.25">
      <c r="A78">
        <v>1776</v>
      </c>
      <c r="B78" t="s">
        <v>182</v>
      </c>
      <c r="C78" s="20">
        <v>39000</v>
      </c>
      <c r="E78" s="20">
        <v>39007</v>
      </c>
      <c r="F78" s="1" t="s">
        <v>122</v>
      </c>
    </row>
    <row r="79" spans="1:6" x14ac:dyDescent="0.25">
      <c r="A79">
        <v>1777</v>
      </c>
      <c r="B79" t="s">
        <v>183</v>
      </c>
      <c r="C79" s="20">
        <v>39001</v>
      </c>
      <c r="E79" s="20">
        <v>39375</v>
      </c>
      <c r="F79" s="1" t="s">
        <v>122</v>
      </c>
    </row>
    <row r="80" spans="1:6" x14ac:dyDescent="0.25">
      <c r="A80">
        <v>1778</v>
      </c>
      <c r="B80" t="s">
        <v>184</v>
      </c>
      <c r="C80" s="20">
        <v>39001</v>
      </c>
      <c r="E80" s="20">
        <v>39032</v>
      </c>
      <c r="F80" s="1" t="s">
        <v>122</v>
      </c>
    </row>
    <row r="81" spans="1:6" x14ac:dyDescent="0.25">
      <c r="A81">
        <v>1779</v>
      </c>
      <c r="B81" t="s">
        <v>185</v>
      </c>
      <c r="C81" s="20">
        <v>39023</v>
      </c>
      <c r="E81" s="20">
        <v>39051</v>
      </c>
      <c r="F81" s="1" t="s">
        <v>122</v>
      </c>
    </row>
    <row r="82" spans="1:6" x14ac:dyDescent="0.25">
      <c r="A82">
        <v>1780</v>
      </c>
      <c r="B82" t="s">
        <v>186</v>
      </c>
      <c r="C82" s="20">
        <v>38686</v>
      </c>
      <c r="E82" s="20">
        <v>39051</v>
      </c>
      <c r="F82" s="1" t="s">
        <v>122</v>
      </c>
    </row>
    <row r="83" spans="1:6" x14ac:dyDescent="0.25">
      <c r="A83">
        <v>1781</v>
      </c>
      <c r="B83" t="s">
        <v>187</v>
      </c>
      <c r="C83" s="20">
        <v>38686</v>
      </c>
      <c r="E83" s="20">
        <v>39051</v>
      </c>
      <c r="F83" s="1" t="s">
        <v>122</v>
      </c>
    </row>
    <row r="84" spans="1:6" x14ac:dyDescent="0.25">
      <c r="A84">
        <v>1782</v>
      </c>
      <c r="B84" t="s">
        <v>188</v>
      </c>
      <c r="C84" s="20">
        <v>39114</v>
      </c>
      <c r="E84" s="20">
        <v>39173</v>
      </c>
      <c r="F84" s="1" t="s">
        <v>122</v>
      </c>
    </row>
    <row r="85" spans="1:6" x14ac:dyDescent="0.25">
      <c r="A85">
        <v>1783</v>
      </c>
      <c r="B85" t="s">
        <v>189</v>
      </c>
      <c r="C85" s="20">
        <v>39029</v>
      </c>
      <c r="E85" s="20">
        <v>39059</v>
      </c>
      <c r="F85" s="1" t="s">
        <v>122</v>
      </c>
    </row>
    <row r="86" spans="1:6" x14ac:dyDescent="0.25">
      <c r="A86">
        <v>1785</v>
      </c>
      <c r="B86" t="s">
        <v>190</v>
      </c>
      <c r="C86" s="20">
        <v>39056</v>
      </c>
      <c r="E86" s="20">
        <v>39172</v>
      </c>
      <c r="F86" s="1" t="s">
        <v>122</v>
      </c>
    </row>
    <row r="87" spans="1:6" x14ac:dyDescent="0.25">
      <c r="A87">
        <v>1786</v>
      </c>
      <c r="B87" t="s">
        <v>191</v>
      </c>
      <c r="C87" s="20">
        <v>39056</v>
      </c>
      <c r="E87" s="20">
        <v>39113</v>
      </c>
      <c r="F87" s="1" t="s">
        <v>122</v>
      </c>
    </row>
    <row r="88" spans="1:6" x14ac:dyDescent="0.25">
      <c r="A88">
        <v>1787</v>
      </c>
      <c r="B88" t="s">
        <v>192</v>
      </c>
      <c r="C88" s="20">
        <v>39061</v>
      </c>
      <c r="E88" s="20">
        <v>39075</v>
      </c>
      <c r="F88" s="1" t="s">
        <v>122</v>
      </c>
    </row>
    <row r="89" spans="1:6" x14ac:dyDescent="0.25">
      <c r="A89">
        <v>1788</v>
      </c>
      <c r="B89" t="s">
        <v>193</v>
      </c>
      <c r="C89" s="20">
        <v>39066</v>
      </c>
      <c r="E89" s="20">
        <v>39112</v>
      </c>
      <c r="F89" s="1" t="s">
        <v>122</v>
      </c>
    </row>
    <row r="90" spans="1:6" x14ac:dyDescent="0.25">
      <c r="A90">
        <v>1789</v>
      </c>
      <c r="B90" t="s">
        <v>194</v>
      </c>
      <c r="C90" s="20">
        <v>39071</v>
      </c>
      <c r="E90" s="20">
        <v>39081</v>
      </c>
      <c r="F90" s="1" t="s">
        <v>122</v>
      </c>
    </row>
    <row r="91" spans="1:6" x14ac:dyDescent="0.25">
      <c r="A91">
        <v>1790</v>
      </c>
      <c r="B91" t="s">
        <v>195</v>
      </c>
      <c r="C91" s="20">
        <v>39087</v>
      </c>
      <c r="E91" s="20">
        <v>39118</v>
      </c>
      <c r="F91" s="1" t="s">
        <v>122</v>
      </c>
    </row>
    <row r="92" spans="1:6" x14ac:dyDescent="0.25">
      <c r="A92">
        <v>1791</v>
      </c>
      <c r="B92" t="s">
        <v>196</v>
      </c>
      <c r="C92" s="20">
        <v>39092</v>
      </c>
      <c r="E92" s="20">
        <v>39151</v>
      </c>
      <c r="F92" s="1" t="s">
        <v>122</v>
      </c>
    </row>
    <row r="93" spans="1:6" x14ac:dyDescent="0.25">
      <c r="A93">
        <v>1792</v>
      </c>
      <c r="B93" t="s">
        <v>197</v>
      </c>
      <c r="C93" s="20">
        <v>39097</v>
      </c>
      <c r="E93" s="20">
        <v>39111</v>
      </c>
      <c r="F93" s="1" t="s">
        <v>122</v>
      </c>
    </row>
    <row r="94" spans="1:6" x14ac:dyDescent="0.25">
      <c r="A94">
        <v>1793</v>
      </c>
      <c r="B94" t="s">
        <v>198</v>
      </c>
      <c r="C94" s="20">
        <v>39115</v>
      </c>
      <c r="E94" s="20">
        <v>39119</v>
      </c>
      <c r="F94" s="1" t="s">
        <v>122</v>
      </c>
    </row>
    <row r="95" spans="1:6" x14ac:dyDescent="0.25">
      <c r="A95">
        <v>1794</v>
      </c>
      <c r="B95" t="s">
        <v>199</v>
      </c>
      <c r="C95" s="20">
        <v>39118</v>
      </c>
      <c r="E95" s="20">
        <v>39118</v>
      </c>
      <c r="F95" s="1" t="s">
        <v>122</v>
      </c>
    </row>
    <row r="96" spans="1:6" x14ac:dyDescent="0.25">
      <c r="A96">
        <v>1795</v>
      </c>
      <c r="B96" t="s">
        <v>200</v>
      </c>
      <c r="C96" s="20">
        <v>39120</v>
      </c>
      <c r="E96" s="20">
        <v>39156</v>
      </c>
      <c r="F96" s="1" t="s">
        <v>122</v>
      </c>
    </row>
    <row r="97" spans="1:6" x14ac:dyDescent="0.25">
      <c r="A97">
        <v>1796</v>
      </c>
      <c r="B97" t="s">
        <v>201</v>
      </c>
      <c r="C97" s="20">
        <v>39129</v>
      </c>
      <c r="E97" s="20">
        <v>39173</v>
      </c>
      <c r="F97" s="1" t="s">
        <v>122</v>
      </c>
    </row>
    <row r="98" spans="1:6" x14ac:dyDescent="0.25">
      <c r="A98">
        <v>1797</v>
      </c>
      <c r="B98" t="s">
        <v>202</v>
      </c>
      <c r="C98" s="20">
        <v>39129</v>
      </c>
      <c r="E98" s="20">
        <v>39129</v>
      </c>
      <c r="F98" s="1" t="s">
        <v>122</v>
      </c>
    </row>
    <row r="99" spans="1:6" x14ac:dyDescent="0.25">
      <c r="A99">
        <v>1798</v>
      </c>
      <c r="B99" t="s">
        <v>203</v>
      </c>
      <c r="C99" s="20">
        <v>39134</v>
      </c>
      <c r="E99" s="20">
        <v>39134</v>
      </c>
      <c r="F99" s="1" t="s">
        <v>122</v>
      </c>
    </row>
    <row r="100" spans="1:6" x14ac:dyDescent="0.25">
      <c r="A100">
        <v>1799</v>
      </c>
      <c r="B100" t="s">
        <v>204</v>
      </c>
      <c r="C100" s="20">
        <v>39135</v>
      </c>
      <c r="E100" s="20">
        <v>39135</v>
      </c>
      <c r="F100" s="1" t="s">
        <v>122</v>
      </c>
    </row>
    <row r="101" spans="1:6" x14ac:dyDescent="0.25">
      <c r="A101">
        <v>1800</v>
      </c>
      <c r="B101" t="s">
        <v>196</v>
      </c>
      <c r="C101" s="20">
        <v>39136</v>
      </c>
      <c r="E101" s="20">
        <v>39146</v>
      </c>
      <c r="F101" s="1" t="s">
        <v>122</v>
      </c>
    </row>
    <row r="102" spans="1:6" x14ac:dyDescent="0.25">
      <c r="A102">
        <v>1801</v>
      </c>
      <c r="B102" t="s">
        <v>205</v>
      </c>
      <c r="C102" s="20">
        <v>39140</v>
      </c>
      <c r="E102" s="20">
        <v>39168</v>
      </c>
      <c r="F102" s="1" t="s">
        <v>122</v>
      </c>
    </row>
    <row r="103" spans="1:6" x14ac:dyDescent="0.25">
      <c r="A103">
        <v>1802</v>
      </c>
      <c r="B103" t="s">
        <v>206</v>
      </c>
      <c r="C103" s="20">
        <v>39147</v>
      </c>
      <c r="E103" s="20">
        <v>39151</v>
      </c>
      <c r="F103" s="1" t="s">
        <v>122</v>
      </c>
    </row>
    <row r="104" spans="1:6" x14ac:dyDescent="0.25">
      <c r="A104">
        <v>1803</v>
      </c>
      <c r="B104" t="s">
        <v>207</v>
      </c>
      <c r="C104" s="20">
        <v>39150</v>
      </c>
      <c r="E104" s="20">
        <v>39181</v>
      </c>
      <c r="F104" s="1" t="s">
        <v>122</v>
      </c>
    </row>
    <row r="105" spans="1:6" x14ac:dyDescent="0.25">
      <c r="A105">
        <v>1804</v>
      </c>
      <c r="B105" t="s">
        <v>208</v>
      </c>
      <c r="C105" s="20">
        <v>39153</v>
      </c>
      <c r="E105" s="20">
        <v>39184</v>
      </c>
      <c r="F105" s="1" t="s">
        <v>122</v>
      </c>
    </row>
    <row r="106" spans="1:6" x14ac:dyDescent="0.25">
      <c r="A106">
        <v>1805</v>
      </c>
      <c r="B106" t="s">
        <v>209</v>
      </c>
      <c r="C106" s="20">
        <v>39154</v>
      </c>
      <c r="E106" s="20">
        <v>39161</v>
      </c>
      <c r="F106" s="1" t="s">
        <v>122</v>
      </c>
    </row>
    <row r="107" spans="1:6" x14ac:dyDescent="0.25">
      <c r="A107">
        <v>1806</v>
      </c>
      <c r="B107" t="s">
        <v>210</v>
      </c>
      <c r="C107" s="20">
        <v>39162</v>
      </c>
      <c r="E107" s="20">
        <v>39162</v>
      </c>
      <c r="F107" s="1" t="s">
        <v>122</v>
      </c>
    </row>
    <row r="108" spans="1:6" x14ac:dyDescent="0.25">
      <c r="A108">
        <v>1807</v>
      </c>
      <c r="B108" t="s">
        <v>211</v>
      </c>
      <c r="C108" s="20">
        <v>39163</v>
      </c>
      <c r="E108" s="20">
        <v>39168</v>
      </c>
      <c r="F108" s="1" t="s">
        <v>122</v>
      </c>
    </row>
    <row r="109" spans="1:6" x14ac:dyDescent="0.25">
      <c r="A109">
        <v>1808</v>
      </c>
      <c r="B109" t="s">
        <v>212</v>
      </c>
      <c r="C109" s="20">
        <v>39168</v>
      </c>
      <c r="E109" s="20">
        <v>39199</v>
      </c>
      <c r="F109" s="1" t="s">
        <v>122</v>
      </c>
    </row>
    <row r="110" spans="1:6" x14ac:dyDescent="0.25">
      <c r="A110">
        <v>1809</v>
      </c>
      <c r="B110" t="s">
        <v>196</v>
      </c>
      <c r="C110" s="20">
        <v>39167</v>
      </c>
      <c r="E110" s="20">
        <v>39187</v>
      </c>
      <c r="F110" s="1" t="s">
        <v>122</v>
      </c>
    </row>
    <row r="111" spans="1:6" x14ac:dyDescent="0.25">
      <c r="A111">
        <v>1810</v>
      </c>
      <c r="B111" t="s">
        <v>213</v>
      </c>
      <c r="C111" s="20">
        <v>39170</v>
      </c>
      <c r="E111" s="20">
        <v>39170</v>
      </c>
      <c r="F111" s="1" t="s">
        <v>122</v>
      </c>
    </row>
    <row r="112" spans="1:6" x14ac:dyDescent="0.25">
      <c r="A112">
        <v>1811</v>
      </c>
      <c r="B112" t="s">
        <v>214</v>
      </c>
      <c r="C112" s="20">
        <v>39175</v>
      </c>
      <c r="E112" s="20">
        <v>39205</v>
      </c>
      <c r="F112" s="1" t="s">
        <v>122</v>
      </c>
    </row>
    <row r="113" spans="1:6" x14ac:dyDescent="0.25">
      <c r="A113">
        <v>1812</v>
      </c>
      <c r="B113" t="s">
        <v>215</v>
      </c>
      <c r="C113" s="20">
        <v>39176</v>
      </c>
      <c r="E113" s="20">
        <v>39238</v>
      </c>
      <c r="F113" s="1" t="s">
        <v>122</v>
      </c>
    </row>
    <row r="114" spans="1:6" x14ac:dyDescent="0.25">
      <c r="A114">
        <v>1813</v>
      </c>
      <c r="B114" t="s">
        <v>216</v>
      </c>
      <c r="C114" s="20">
        <v>39181</v>
      </c>
      <c r="E114" s="20">
        <v>39629</v>
      </c>
      <c r="F114" s="1" t="s">
        <v>122</v>
      </c>
    </row>
    <row r="115" spans="1:6" x14ac:dyDescent="0.25">
      <c r="A115">
        <v>1814</v>
      </c>
      <c r="B115" t="s">
        <v>217</v>
      </c>
      <c r="C115" s="20">
        <v>39182</v>
      </c>
      <c r="E115" s="20">
        <v>39212</v>
      </c>
      <c r="F115" s="1" t="s">
        <v>122</v>
      </c>
    </row>
    <row r="116" spans="1:6" x14ac:dyDescent="0.25">
      <c r="A116">
        <v>1815</v>
      </c>
      <c r="B116" t="s">
        <v>218</v>
      </c>
      <c r="C116" s="20">
        <v>39177</v>
      </c>
      <c r="E116" s="20">
        <v>39202</v>
      </c>
      <c r="F116" s="1" t="s">
        <v>122</v>
      </c>
    </row>
    <row r="117" spans="1:6" x14ac:dyDescent="0.25">
      <c r="A117">
        <v>1816</v>
      </c>
      <c r="B117" t="s">
        <v>219</v>
      </c>
      <c r="C117" s="20">
        <v>39343</v>
      </c>
      <c r="E117" s="20">
        <v>39202</v>
      </c>
      <c r="F117" s="1" t="s">
        <v>122</v>
      </c>
    </row>
    <row r="118" spans="1:6" x14ac:dyDescent="0.25">
      <c r="A118">
        <v>1817</v>
      </c>
      <c r="B118" t="s">
        <v>220</v>
      </c>
      <c r="C118" s="20">
        <v>39173</v>
      </c>
      <c r="E118" s="20">
        <v>39202</v>
      </c>
      <c r="F118" s="1" t="s">
        <v>122</v>
      </c>
    </row>
    <row r="119" spans="1:6" x14ac:dyDescent="0.25">
      <c r="A119">
        <v>1818</v>
      </c>
      <c r="B119" t="s">
        <v>221</v>
      </c>
      <c r="C119" s="20">
        <v>39156</v>
      </c>
      <c r="E119" s="20">
        <v>39202</v>
      </c>
      <c r="F119" s="1" t="s">
        <v>122</v>
      </c>
    </row>
    <row r="120" spans="1:6" x14ac:dyDescent="0.25">
      <c r="A120">
        <v>1819</v>
      </c>
      <c r="B120" t="s">
        <v>222</v>
      </c>
      <c r="C120" s="20">
        <v>38952</v>
      </c>
      <c r="E120" s="20">
        <v>39202</v>
      </c>
      <c r="F120" s="1" t="s">
        <v>122</v>
      </c>
    </row>
    <row r="121" spans="1:6" x14ac:dyDescent="0.25">
      <c r="A121">
        <v>1820</v>
      </c>
      <c r="B121" t="s">
        <v>223</v>
      </c>
      <c r="C121" s="20">
        <v>38999</v>
      </c>
      <c r="E121" s="20">
        <v>39202</v>
      </c>
      <c r="F121" s="1" t="s">
        <v>122</v>
      </c>
    </row>
    <row r="122" spans="1:6" x14ac:dyDescent="0.25">
      <c r="A122">
        <v>1821</v>
      </c>
      <c r="B122" t="s">
        <v>224</v>
      </c>
      <c r="C122" s="20">
        <v>38999</v>
      </c>
      <c r="E122" s="20">
        <v>39202</v>
      </c>
      <c r="F122" s="1" t="s">
        <v>122</v>
      </c>
    </row>
    <row r="123" spans="1:6" x14ac:dyDescent="0.25">
      <c r="A123">
        <v>1822</v>
      </c>
      <c r="B123" t="s">
        <v>225</v>
      </c>
      <c r="C123" s="20">
        <v>39010</v>
      </c>
      <c r="E123" s="20">
        <v>39202</v>
      </c>
      <c r="F123" s="1" t="s">
        <v>122</v>
      </c>
    </row>
    <row r="124" spans="1:6" x14ac:dyDescent="0.25">
      <c r="A124">
        <v>1823</v>
      </c>
      <c r="B124" t="s">
        <v>226</v>
      </c>
      <c r="C124" s="20">
        <v>39031</v>
      </c>
      <c r="E124" s="20">
        <v>39202</v>
      </c>
      <c r="F124" s="1" t="s">
        <v>122</v>
      </c>
    </row>
    <row r="125" spans="1:6" x14ac:dyDescent="0.25">
      <c r="A125">
        <v>1824</v>
      </c>
      <c r="B125" t="s">
        <v>227</v>
      </c>
      <c r="C125" s="20">
        <v>39050</v>
      </c>
      <c r="E125" s="20">
        <v>39202</v>
      </c>
      <c r="F125" s="1" t="s">
        <v>122</v>
      </c>
    </row>
    <row r="126" spans="1:6" x14ac:dyDescent="0.25">
      <c r="A126">
        <v>1825</v>
      </c>
      <c r="B126" t="s">
        <v>228</v>
      </c>
      <c r="C126" s="20">
        <v>39092</v>
      </c>
      <c r="E126" s="20">
        <v>39202</v>
      </c>
      <c r="F126" s="1" t="s">
        <v>122</v>
      </c>
    </row>
    <row r="127" spans="1:6" x14ac:dyDescent="0.25">
      <c r="A127">
        <v>1826</v>
      </c>
      <c r="B127" t="s">
        <v>229</v>
      </c>
      <c r="C127" s="20">
        <v>38991</v>
      </c>
      <c r="E127" s="20">
        <v>39202</v>
      </c>
      <c r="F127" s="1" t="s">
        <v>122</v>
      </c>
    </row>
    <row r="128" spans="1:6" x14ac:dyDescent="0.25">
      <c r="A128">
        <v>1827</v>
      </c>
      <c r="B128" t="s">
        <v>230</v>
      </c>
      <c r="C128" s="20">
        <v>39092</v>
      </c>
      <c r="E128" s="20">
        <v>39202</v>
      </c>
      <c r="F128" s="1" t="s">
        <v>122</v>
      </c>
    </row>
    <row r="129" spans="1:6" x14ac:dyDescent="0.25">
      <c r="A129">
        <v>1828</v>
      </c>
      <c r="B129" t="s">
        <v>231</v>
      </c>
      <c r="C129" s="20">
        <v>39048</v>
      </c>
      <c r="E129" s="20">
        <v>39202</v>
      </c>
      <c r="F129" s="1" t="s">
        <v>122</v>
      </c>
    </row>
    <row r="130" spans="1:6" x14ac:dyDescent="0.25">
      <c r="A130">
        <v>1829</v>
      </c>
      <c r="B130" t="s">
        <v>232</v>
      </c>
      <c r="C130" s="20">
        <v>39086</v>
      </c>
      <c r="E130" s="20">
        <v>39202</v>
      </c>
      <c r="F130" s="1" t="s">
        <v>122</v>
      </c>
    </row>
    <row r="131" spans="1:6" x14ac:dyDescent="0.25">
      <c r="A131">
        <v>1830</v>
      </c>
      <c r="B131" t="s">
        <v>233</v>
      </c>
      <c r="C131" s="20">
        <v>39188</v>
      </c>
      <c r="E131" s="20">
        <v>39264</v>
      </c>
      <c r="F131" s="1" t="s">
        <v>122</v>
      </c>
    </row>
    <row r="132" spans="1:6" x14ac:dyDescent="0.25">
      <c r="A132">
        <v>1831</v>
      </c>
      <c r="B132" t="s">
        <v>234</v>
      </c>
      <c r="C132" s="20">
        <v>39190</v>
      </c>
      <c r="E132" s="20">
        <v>39192</v>
      </c>
      <c r="F132" s="1" t="s">
        <v>122</v>
      </c>
    </row>
    <row r="133" spans="1:6" x14ac:dyDescent="0.25">
      <c r="A133">
        <v>1832</v>
      </c>
      <c r="B133" t="s">
        <v>235</v>
      </c>
      <c r="C133" s="20">
        <v>39188</v>
      </c>
      <c r="E133" s="20">
        <v>39188</v>
      </c>
      <c r="F133" s="1" t="s">
        <v>122</v>
      </c>
    </row>
    <row r="134" spans="1:6" x14ac:dyDescent="0.25">
      <c r="A134">
        <v>1833</v>
      </c>
      <c r="B134" t="s">
        <v>236</v>
      </c>
      <c r="C134" s="20">
        <v>39189</v>
      </c>
      <c r="E134" s="20">
        <v>39214</v>
      </c>
      <c r="F134" s="1" t="s">
        <v>122</v>
      </c>
    </row>
    <row r="135" spans="1:6" x14ac:dyDescent="0.25">
      <c r="A135">
        <v>1834</v>
      </c>
      <c r="B135" t="s">
        <v>237</v>
      </c>
      <c r="C135" s="20">
        <v>39191</v>
      </c>
      <c r="E135" s="20">
        <v>39191</v>
      </c>
      <c r="F135" s="1" t="s">
        <v>122</v>
      </c>
    </row>
    <row r="136" spans="1:6" x14ac:dyDescent="0.25">
      <c r="A136">
        <v>1835</v>
      </c>
      <c r="B136" t="s">
        <v>238</v>
      </c>
      <c r="C136" s="20">
        <v>39206</v>
      </c>
      <c r="E136" s="20">
        <v>39213</v>
      </c>
      <c r="F136" s="1" t="s">
        <v>122</v>
      </c>
    </row>
    <row r="137" spans="1:6" x14ac:dyDescent="0.25">
      <c r="A137">
        <v>1836</v>
      </c>
      <c r="B137" t="s">
        <v>239</v>
      </c>
      <c r="C137" s="20">
        <v>39245</v>
      </c>
      <c r="E137" s="20">
        <v>39568</v>
      </c>
      <c r="F137" s="1" t="s">
        <v>122</v>
      </c>
    </row>
    <row r="138" spans="1:6" x14ac:dyDescent="0.25">
      <c r="A138">
        <v>1837</v>
      </c>
      <c r="B138" t="s">
        <v>240</v>
      </c>
      <c r="C138" s="20">
        <v>39247</v>
      </c>
      <c r="E138" s="20">
        <v>39568</v>
      </c>
      <c r="F138" s="1" t="s">
        <v>122</v>
      </c>
    </row>
    <row r="139" spans="1:6" x14ac:dyDescent="0.25">
      <c r="A139">
        <v>1838</v>
      </c>
      <c r="B139" t="s">
        <v>241</v>
      </c>
      <c r="C139" s="20">
        <v>39247</v>
      </c>
      <c r="E139" s="20">
        <v>39568</v>
      </c>
      <c r="F139" s="1" t="s">
        <v>122</v>
      </c>
    </row>
    <row r="140" spans="1:6" x14ac:dyDescent="0.25">
      <c r="A140">
        <v>1839</v>
      </c>
      <c r="B140" t="s">
        <v>242</v>
      </c>
      <c r="C140" s="20">
        <v>39247</v>
      </c>
      <c r="E140" s="20">
        <v>39568</v>
      </c>
      <c r="F140" s="1" t="s">
        <v>122</v>
      </c>
    </row>
    <row r="141" spans="1:6" x14ac:dyDescent="0.25">
      <c r="A141">
        <v>1840</v>
      </c>
      <c r="B141" t="s">
        <v>243</v>
      </c>
      <c r="C141" s="20">
        <v>39247</v>
      </c>
      <c r="E141" s="20">
        <v>39568</v>
      </c>
      <c r="F141" s="1" t="s">
        <v>122</v>
      </c>
    </row>
    <row r="142" spans="1:6" x14ac:dyDescent="0.25">
      <c r="A142">
        <v>1841</v>
      </c>
      <c r="B142" t="s">
        <v>244</v>
      </c>
      <c r="C142" s="20">
        <v>39254</v>
      </c>
      <c r="E142" s="20">
        <v>39568</v>
      </c>
      <c r="F142" s="1" t="s">
        <v>122</v>
      </c>
    </row>
    <row r="143" spans="1:6" x14ac:dyDescent="0.25">
      <c r="A143">
        <v>1842</v>
      </c>
      <c r="B143" t="s">
        <v>245</v>
      </c>
      <c r="C143" s="20">
        <v>39254</v>
      </c>
      <c r="E143" s="20">
        <v>39568</v>
      </c>
      <c r="F143" s="1" t="s">
        <v>122</v>
      </c>
    </row>
    <row r="144" spans="1:6" x14ac:dyDescent="0.25">
      <c r="A144">
        <v>1843</v>
      </c>
      <c r="B144" t="s">
        <v>246</v>
      </c>
      <c r="C144" s="20">
        <v>39254</v>
      </c>
      <c r="E144" s="20">
        <v>39568</v>
      </c>
      <c r="F144" s="1" t="s">
        <v>122</v>
      </c>
    </row>
    <row r="145" spans="1:6" x14ac:dyDescent="0.25">
      <c r="A145">
        <v>1844</v>
      </c>
      <c r="B145" t="s">
        <v>247</v>
      </c>
      <c r="C145" s="20">
        <v>39254</v>
      </c>
      <c r="E145" s="20">
        <v>39568</v>
      </c>
      <c r="F145" s="1" t="s">
        <v>122</v>
      </c>
    </row>
    <row r="146" spans="1:6" x14ac:dyDescent="0.25">
      <c r="A146">
        <v>1845</v>
      </c>
      <c r="B146" t="s">
        <v>248</v>
      </c>
      <c r="C146" s="20">
        <v>39260</v>
      </c>
      <c r="E146" s="20">
        <v>39262</v>
      </c>
      <c r="F146" s="1" t="s">
        <v>122</v>
      </c>
    </row>
    <row r="147" spans="1:6" x14ac:dyDescent="0.25">
      <c r="A147">
        <v>1846</v>
      </c>
      <c r="B147" t="s">
        <v>249</v>
      </c>
      <c r="C147" s="20">
        <v>39265</v>
      </c>
      <c r="E147" s="20">
        <v>39327</v>
      </c>
      <c r="F147" s="1" t="s">
        <v>122</v>
      </c>
    </row>
    <row r="148" spans="1:6" x14ac:dyDescent="0.25">
      <c r="A148">
        <v>1847</v>
      </c>
      <c r="B148" t="s">
        <v>250</v>
      </c>
      <c r="C148" s="20">
        <v>39281</v>
      </c>
      <c r="E148" s="20">
        <v>39283</v>
      </c>
      <c r="F148" s="1" t="s">
        <v>122</v>
      </c>
    </row>
    <row r="149" spans="1:6" x14ac:dyDescent="0.25">
      <c r="A149">
        <v>1848</v>
      </c>
      <c r="B149" t="s">
        <v>251</v>
      </c>
      <c r="C149" s="20">
        <v>39282</v>
      </c>
      <c r="E149" s="20">
        <v>39568</v>
      </c>
      <c r="F149" s="1" t="s">
        <v>122</v>
      </c>
    </row>
    <row r="150" spans="1:6" x14ac:dyDescent="0.25">
      <c r="A150">
        <v>1849</v>
      </c>
      <c r="B150" t="s">
        <v>252</v>
      </c>
      <c r="C150" s="20">
        <v>39282</v>
      </c>
      <c r="E150" s="20">
        <v>39568</v>
      </c>
      <c r="F150" s="1" t="s">
        <v>122</v>
      </c>
    </row>
    <row r="151" spans="1:6" x14ac:dyDescent="0.25">
      <c r="A151">
        <v>1850</v>
      </c>
      <c r="B151" t="s">
        <v>253</v>
      </c>
      <c r="C151" s="20">
        <v>39282</v>
      </c>
      <c r="E151" s="20">
        <v>39568</v>
      </c>
      <c r="F151" s="1" t="s">
        <v>122</v>
      </c>
    </row>
    <row r="152" spans="1:6" x14ac:dyDescent="0.25">
      <c r="A152">
        <v>1851</v>
      </c>
      <c r="B152" t="s">
        <v>254</v>
      </c>
      <c r="C152" s="20">
        <v>39282</v>
      </c>
      <c r="E152" s="20">
        <v>39568</v>
      </c>
      <c r="F152" s="1" t="s">
        <v>122</v>
      </c>
    </row>
    <row r="153" spans="1:6" x14ac:dyDescent="0.25">
      <c r="A153">
        <v>1852</v>
      </c>
      <c r="B153" t="s">
        <v>255</v>
      </c>
      <c r="C153" s="20">
        <v>39282</v>
      </c>
      <c r="E153" s="20">
        <v>39568</v>
      </c>
      <c r="F153" s="1" t="s">
        <v>122</v>
      </c>
    </row>
    <row r="154" spans="1:6" x14ac:dyDescent="0.25">
      <c r="A154">
        <v>1853</v>
      </c>
      <c r="B154" t="s">
        <v>256</v>
      </c>
      <c r="C154" s="20">
        <v>39282</v>
      </c>
      <c r="E154" s="20">
        <v>39568</v>
      </c>
      <c r="F154" s="1" t="s">
        <v>122</v>
      </c>
    </row>
    <row r="155" spans="1:6" x14ac:dyDescent="0.25">
      <c r="A155">
        <v>1854</v>
      </c>
      <c r="B155" t="s">
        <v>257</v>
      </c>
      <c r="C155" s="20">
        <v>39282</v>
      </c>
      <c r="E155" s="20">
        <v>39568</v>
      </c>
      <c r="F155" s="1" t="s">
        <v>122</v>
      </c>
    </row>
    <row r="156" spans="1:6" x14ac:dyDescent="0.25">
      <c r="A156">
        <v>1855</v>
      </c>
      <c r="B156" t="s">
        <v>258</v>
      </c>
      <c r="C156" s="20">
        <v>39282</v>
      </c>
      <c r="E156" s="20">
        <v>39568</v>
      </c>
      <c r="F156" s="1" t="s">
        <v>122</v>
      </c>
    </row>
    <row r="157" spans="1:6" x14ac:dyDescent="0.25">
      <c r="A157">
        <v>1856</v>
      </c>
      <c r="B157" t="s">
        <v>259</v>
      </c>
      <c r="C157" s="20">
        <v>39282</v>
      </c>
      <c r="E157" s="20">
        <v>39568</v>
      </c>
      <c r="F157" s="1" t="s">
        <v>122</v>
      </c>
    </row>
    <row r="158" spans="1:6" x14ac:dyDescent="0.25">
      <c r="A158">
        <v>1857</v>
      </c>
      <c r="B158" t="s">
        <v>260</v>
      </c>
      <c r="C158" s="20">
        <v>39282</v>
      </c>
      <c r="E158" s="20">
        <v>39568</v>
      </c>
      <c r="F158" s="1" t="s">
        <v>122</v>
      </c>
    </row>
    <row r="159" spans="1:6" x14ac:dyDescent="0.25">
      <c r="A159">
        <v>1858</v>
      </c>
      <c r="B159" t="s">
        <v>261</v>
      </c>
      <c r="C159" s="20">
        <v>39283</v>
      </c>
      <c r="E159" s="20">
        <v>39290</v>
      </c>
      <c r="F159" s="1" t="s">
        <v>122</v>
      </c>
    </row>
    <row r="160" spans="1:6" x14ac:dyDescent="0.25">
      <c r="A160">
        <v>1859</v>
      </c>
      <c r="B160" t="s">
        <v>262</v>
      </c>
      <c r="C160" s="20">
        <v>39286</v>
      </c>
      <c r="E160" s="20">
        <v>39355</v>
      </c>
      <c r="F160" s="1" t="s">
        <v>122</v>
      </c>
    </row>
    <row r="161" spans="1:6" x14ac:dyDescent="0.25">
      <c r="A161">
        <v>1860</v>
      </c>
      <c r="B161" t="s">
        <v>263</v>
      </c>
      <c r="C161" s="20">
        <v>39295</v>
      </c>
      <c r="E161" s="20">
        <v>39355</v>
      </c>
      <c r="F161" s="1" t="s">
        <v>122</v>
      </c>
    </row>
    <row r="162" spans="1:6" x14ac:dyDescent="0.25">
      <c r="A162">
        <v>1861</v>
      </c>
      <c r="B162" t="s">
        <v>264</v>
      </c>
      <c r="C162" s="20">
        <v>39301</v>
      </c>
      <c r="E162" s="20">
        <v>39362</v>
      </c>
      <c r="F162" s="1" t="s">
        <v>122</v>
      </c>
    </row>
    <row r="163" spans="1:6" x14ac:dyDescent="0.25">
      <c r="A163">
        <v>1862</v>
      </c>
      <c r="B163" t="s">
        <v>265</v>
      </c>
      <c r="C163" s="20">
        <v>39303</v>
      </c>
      <c r="E163" s="20">
        <v>39304</v>
      </c>
      <c r="F163" s="1" t="s">
        <v>122</v>
      </c>
    </row>
    <row r="164" spans="1:6" x14ac:dyDescent="0.25">
      <c r="A164">
        <v>1863</v>
      </c>
      <c r="B164" t="s">
        <v>266</v>
      </c>
      <c r="C164" s="20">
        <v>39304</v>
      </c>
      <c r="E164" s="20">
        <v>39311</v>
      </c>
      <c r="F164" s="1" t="s">
        <v>122</v>
      </c>
    </row>
    <row r="165" spans="1:6" x14ac:dyDescent="0.25">
      <c r="A165">
        <v>1864</v>
      </c>
      <c r="B165" t="s">
        <v>267</v>
      </c>
      <c r="C165" s="20">
        <v>39297</v>
      </c>
      <c r="E165" s="20">
        <v>39355</v>
      </c>
      <c r="F165" s="1" t="s">
        <v>122</v>
      </c>
    </row>
    <row r="166" spans="1:6" x14ac:dyDescent="0.25">
      <c r="A166">
        <v>1865</v>
      </c>
      <c r="B166" t="s">
        <v>268</v>
      </c>
      <c r="C166" s="20">
        <v>39307</v>
      </c>
      <c r="E166" s="20">
        <v>39309</v>
      </c>
      <c r="F166" s="1" t="s">
        <v>122</v>
      </c>
    </row>
    <row r="167" spans="1:6" x14ac:dyDescent="0.25">
      <c r="A167">
        <v>1866</v>
      </c>
      <c r="B167" t="s">
        <v>269</v>
      </c>
      <c r="C167" s="20">
        <v>39308</v>
      </c>
      <c r="E167" s="20">
        <v>39355</v>
      </c>
      <c r="F167" s="1" t="s">
        <v>122</v>
      </c>
    </row>
    <row r="168" spans="1:6" x14ac:dyDescent="0.25">
      <c r="A168">
        <v>1867</v>
      </c>
      <c r="B168" t="s">
        <v>270</v>
      </c>
      <c r="C168" s="20">
        <v>39310</v>
      </c>
      <c r="E168" s="20">
        <v>39329</v>
      </c>
      <c r="F168" s="1" t="s">
        <v>122</v>
      </c>
    </row>
    <row r="169" spans="1:6" x14ac:dyDescent="0.25">
      <c r="A169">
        <v>1868</v>
      </c>
      <c r="B169" t="s">
        <v>271</v>
      </c>
      <c r="C169" s="20">
        <v>39311</v>
      </c>
      <c r="E169" s="20">
        <v>39342</v>
      </c>
      <c r="F169" s="1" t="s">
        <v>122</v>
      </c>
    </row>
    <row r="170" spans="1:6" x14ac:dyDescent="0.25">
      <c r="A170">
        <v>1869</v>
      </c>
      <c r="B170" t="s">
        <v>272</v>
      </c>
      <c r="C170" s="20">
        <v>39316</v>
      </c>
      <c r="E170" s="20">
        <v>39486</v>
      </c>
      <c r="F170" s="1" t="s">
        <v>122</v>
      </c>
    </row>
    <row r="171" spans="1:6" x14ac:dyDescent="0.25">
      <c r="A171">
        <v>1870</v>
      </c>
      <c r="B171" t="s">
        <v>273</v>
      </c>
      <c r="C171" s="20">
        <v>39315</v>
      </c>
      <c r="E171" s="20">
        <v>39318</v>
      </c>
      <c r="F171" s="1" t="s">
        <v>122</v>
      </c>
    </row>
    <row r="172" spans="1:6" x14ac:dyDescent="0.25">
      <c r="A172">
        <v>1871</v>
      </c>
      <c r="B172" t="s">
        <v>274</v>
      </c>
      <c r="C172" s="20">
        <v>39315</v>
      </c>
      <c r="E172" s="20">
        <v>39325</v>
      </c>
      <c r="F172" s="1" t="s">
        <v>122</v>
      </c>
    </row>
    <row r="173" spans="1:6" x14ac:dyDescent="0.25">
      <c r="A173">
        <v>1872</v>
      </c>
      <c r="B173" t="s">
        <v>275</v>
      </c>
      <c r="C173" s="20">
        <v>39316</v>
      </c>
      <c r="E173" s="20">
        <v>39438</v>
      </c>
      <c r="F173" s="1" t="s">
        <v>122</v>
      </c>
    </row>
    <row r="174" spans="1:6" x14ac:dyDescent="0.25">
      <c r="A174">
        <v>1873</v>
      </c>
      <c r="B174" t="s">
        <v>276</v>
      </c>
      <c r="C174" s="20">
        <v>39317</v>
      </c>
      <c r="E174" s="20">
        <v>39348</v>
      </c>
      <c r="F174" s="1" t="s">
        <v>122</v>
      </c>
    </row>
    <row r="175" spans="1:6" x14ac:dyDescent="0.25">
      <c r="A175">
        <v>1874</v>
      </c>
      <c r="B175" t="s">
        <v>277</v>
      </c>
      <c r="C175" s="20">
        <v>39318</v>
      </c>
      <c r="E175" s="20">
        <v>39349</v>
      </c>
      <c r="F175" s="1" t="s">
        <v>122</v>
      </c>
    </row>
    <row r="176" spans="1:6" x14ac:dyDescent="0.25">
      <c r="A176">
        <v>1875</v>
      </c>
      <c r="B176" t="s">
        <v>278</v>
      </c>
      <c r="C176" s="20">
        <v>39322</v>
      </c>
      <c r="E176" s="20">
        <v>39355</v>
      </c>
      <c r="F176" s="1" t="s">
        <v>122</v>
      </c>
    </row>
    <row r="177" spans="1:6" x14ac:dyDescent="0.25">
      <c r="A177">
        <v>1876</v>
      </c>
      <c r="B177" t="s">
        <v>279</v>
      </c>
      <c r="C177" s="20">
        <v>39315</v>
      </c>
      <c r="E177" s="20">
        <v>39325</v>
      </c>
      <c r="F177" s="1" t="s">
        <v>122</v>
      </c>
    </row>
    <row r="178" spans="1:6" x14ac:dyDescent="0.25">
      <c r="A178">
        <v>1877</v>
      </c>
      <c r="B178" t="s">
        <v>280</v>
      </c>
      <c r="C178" s="20">
        <v>39330</v>
      </c>
      <c r="E178" s="20">
        <v>39355</v>
      </c>
      <c r="F178" s="1" t="s">
        <v>122</v>
      </c>
    </row>
    <row r="179" spans="1:6" x14ac:dyDescent="0.25">
      <c r="A179">
        <v>1878</v>
      </c>
      <c r="B179" t="s">
        <v>281</v>
      </c>
      <c r="C179" s="20">
        <v>39330</v>
      </c>
      <c r="E179" s="20">
        <v>39345</v>
      </c>
      <c r="F179" s="1" t="s">
        <v>122</v>
      </c>
    </row>
    <row r="180" spans="1:6" x14ac:dyDescent="0.25">
      <c r="A180">
        <v>1879</v>
      </c>
      <c r="B180" t="s">
        <v>282</v>
      </c>
      <c r="C180" s="20">
        <v>39330</v>
      </c>
      <c r="E180" s="20">
        <v>39345</v>
      </c>
      <c r="F180" s="1" t="s">
        <v>122</v>
      </c>
    </row>
    <row r="181" spans="1:6" x14ac:dyDescent="0.25">
      <c r="A181">
        <v>1880</v>
      </c>
      <c r="B181" t="s">
        <v>283</v>
      </c>
      <c r="C181" s="20">
        <v>39330</v>
      </c>
      <c r="E181" s="20">
        <v>39345</v>
      </c>
      <c r="F181" s="1" t="s">
        <v>122</v>
      </c>
    </row>
    <row r="182" spans="1:6" x14ac:dyDescent="0.25">
      <c r="A182">
        <v>1881</v>
      </c>
      <c r="B182" t="s">
        <v>284</v>
      </c>
      <c r="C182" s="20">
        <v>39331</v>
      </c>
      <c r="E182" s="20">
        <v>39345</v>
      </c>
      <c r="F182" s="1" t="s">
        <v>122</v>
      </c>
    </row>
    <row r="183" spans="1:6" x14ac:dyDescent="0.25">
      <c r="A183">
        <v>1882</v>
      </c>
      <c r="B183" t="s">
        <v>285</v>
      </c>
      <c r="C183" s="20">
        <v>39337</v>
      </c>
      <c r="E183" s="20">
        <v>39338</v>
      </c>
      <c r="F183" s="1" t="s">
        <v>122</v>
      </c>
    </row>
    <row r="184" spans="1:6" x14ac:dyDescent="0.25">
      <c r="A184">
        <v>1883</v>
      </c>
      <c r="B184" t="s">
        <v>286</v>
      </c>
      <c r="C184" s="20">
        <v>39339</v>
      </c>
      <c r="E184" s="20">
        <v>39568</v>
      </c>
      <c r="F184" s="1" t="s">
        <v>122</v>
      </c>
    </row>
    <row r="185" spans="1:6" x14ac:dyDescent="0.25">
      <c r="A185">
        <v>1884</v>
      </c>
      <c r="B185" t="s">
        <v>287</v>
      </c>
      <c r="C185" s="20">
        <v>39339</v>
      </c>
      <c r="E185" s="20">
        <v>39568</v>
      </c>
      <c r="F185" s="1" t="s">
        <v>122</v>
      </c>
    </row>
    <row r="186" spans="1:6" x14ac:dyDescent="0.25">
      <c r="A186">
        <v>1885</v>
      </c>
      <c r="B186" t="s">
        <v>288</v>
      </c>
      <c r="C186" s="20">
        <v>39339</v>
      </c>
      <c r="E186" s="20">
        <v>39568</v>
      </c>
      <c r="F186" s="1" t="s">
        <v>122</v>
      </c>
    </row>
    <row r="187" spans="1:6" x14ac:dyDescent="0.25">
      <c r="A187">
        <v>1886</v>
      </c>
      <c r="B187" t="s">
        <v>289</v>
      </c>
      <c r="C187" s="20">
        <v>39339</v>
      </c>
      <c r="E187" s="20">
        <v>39568</v>
      </c>
      <c r="F187" s="1" t="s">
        <v>122</v>
      </c>
    </row>
    <row r="188" spans="1:6" x14ac:dyDescent="0.25">
      <c r="A188">
        <v>1887</v>
      </c>
      <c r="B188" t="s">
        <v>290</v>
      </c>
      <c r="C188" s="20">
        <v>39339</v>
      </c>
      <c r="E188" s="20">
        <v>39568</v>
      </c>
      <c r="F188" s="1" t="s">
        <v>122</v>
      </c>
    </row>
    <row r="189" spans="1:6" x14ac:dyDescent="0.25">
      <c r="A189">
        <v>1888</v>
      </c>
      <c r="B189" t="s">
        <v>291</v>
      </c>
      <c r="C189" s="20">
        <v>39339</v>
      </c>
      <c r="E189" s="20">
        <v>39568</v>
      </c>
      <c r="F189" s="1" t="s">
        <v>122</v>
      </c>
    </row>
    <row r="190" spans="1:6" x14ac:dyDescent="0.25">
      <c r="A190">
        <v>1889</v>
      </c>
      <c r="B190" t="s">
        <v>292</v>
      </c>
      <c r="C190" s="20">
        <v>39344</v>
      </c>
      <c r="E190" s="20">
        <v>39568</v>
      </c>
      <c r="F190" s="1" t="s">
        <v>122</v>
      </c>
    </row>
    <row r="191" spans="1:6" x14ac:dyDescent="0.25">
      <c r="A191">
        <v>1890</v>
      </c>
      <c r="B191" t="s">
        <v>293</v>
      </c>
      <c r="C191" s="20">
        <v>39344</v>
      </c>
      <c r="E191" s="20">
        <v>39568</v>
      </c>
      <c r="F191" s="1" t="s">
        <v>122</v>
      </c>
    </row>
    <row r="192" spans="1:6" x14ac:dyDescent="0.25">
      <c r="A192">
        <v>1891</v>
      </c>
      <c r="B192" t="s">
        <v>294</v>
      </c>
      <c r="C192" s="20">
        <v>39344</v>
      </c>
      <c r="E192" s="20">
        <v>39568</v>
      </c>
      <c r="F192" s="1" t="s">
        <v>122</v>
      </c>
    </row>
    <row r="193" spans="1:6" x14ac:dyDescent="0.25">
      <c r="A193">
        <v>1892</v>
      </c>
      <c r="B193" t="s">
        <v>295</v>
      </c>
      <c r="C193" s="20">
        <v>39344</v>
      </c>
      <c r="E193" s="20">
        <v>39568</v>
      </c>
      <c r="F193" s="1" t="s">
        <v>122</v>
      </c>
    </row>
    <row r="194" spans="1:6" x14ac:dyDescent="0.25">
      <c r="A194">
        <v>1893</v>
      </c>
      <c r="B194" t="s">
        <v>296</v>
      </c>
      <c r="C194" s="20">
        <v>39344</v>
      </c>
      <c r="E194" s="20">
        <v>39346</v>
      </c>
      <c r="F194" s="1" t="s">
        <v>122</v>
      </c>
    </row>
    <row r="195" spans="1:6" x14ac:dyDescent="0.25">
      <c r="A195">
        <v>1894</v>
      </c>
      <c r="B195" t="s">
        <v>297</v>
      </c>
      <c r="C195" s="20">
        <v>39351</v>
      </c>
      <c r="E195" s="20">
        <v>39360</v>
      </c>
      <c r="F195" s="1" t="s">
        <v>122</v>
      </c>
    </row>
    <row r="196" spans="1:6" x14ac:dyDescent="0.25">
      <c r="A196">
        <v>1895</v>
      </c>
      <c r="B196" t="s">
        <v>298</v>
      </c>
      <c r="C196" s="20">
        <v>39356</v>
      </c>
      <c r="E196" s="20">
        <v>39386</v>
      </c>
      <c r="F196" s="1" t="s">
        <v>122</v>
      </c>
    </row>
    <row r="197" spans="1:6" x14ac:dyDescent="0.25">
      <c r="A197">
        <v>1896</v>
      </c>
      <c r="B197" t="s">
        <v>299</v>
      </c>
      <c r="C197" s="20">
        <v>39357</v>
      </c>
      <c r="E197" s="20">
        <v>39386</v>
      </c>
      <c r="F197" s="1" t="s">
        <v>122</v>
      </c>
    </row>
    <row r="198" spans="1:6" x14ac:dyDescent="0.25">
      <c r="A198">
        <v>1897</v>
      </c>
      <c r="B198" t="s">
        <v>300</v>
      </c>
      <c r="C198" s="20">
        <v>39359</v>
      </c>
      <c r="E198" s="20">
        <v>39386</v>
      </c>
      <c r="F198" s="1" t="s">
        <v>122</v>
      </c>
    </row>
    <row r="199" spans="1:6" x14ac:dyDescent="0.25">
      <c r="A199">
        <v>1898</v>
      </c>
      <c r="B199" t="s">
        <v>301</v>
      </c>
      <c r="C199" s="20">
        <v>39359</v>
      </c>
      <c r="E199" s="20">
        <v>39386</v>
      </c>
      <c r="F199" s="1" t="s">
        <v>122</v>
      </c>
    </row>
    <row r="200" spans="1:6" x14ac:dyDescent="0.25">
      <c r="A200">
        <v>1899</v>
      </c>
      <c r="B200" t="s">
        <v>302</v>
      </c>
      <c r="C200" s="20">
        <v>39359</v>
      </c>
      <c r="E200" s="20">
        <v>39386</v>
      </c>
      <c r="F200" s="1" t="s">
        <v>122</v>
      </c>
    </row>
    <row r="201" spans="1:6" x14ac:dyDescent="0.25">
      <c r="A201">
        <v>1900</v>
      </c>
      <c r="B201" t="s">
        <v>303</v>
      </c>
      <c r="C201" s="20">
        <v>39360</v>
      </c>
      <c r="E201" s="20">
        <v>39384</v>
      </c>
      <c r="F201" s="1" t="s">
        <v>122</v>
      </c>
    </row>
    <row r="202" spans="1:6" x14ac:dyDescent="0.25">
      <c r="A202">
        <v>1901</v>
      </c>
      <c r="B202" t="s">
        <v>304</v>
      </c>
      <c r="C202" s="20">
        <v>39365</v>
      </c>
      <c r="E202" s="20">
        <v>39405</v>
      </c>
      <c r="F202" s="1" t="s">
        <v>122</v>
      </c>
    </row>
    <row r="203" spans="1:6" x14ac:dyDescent="0.25">
      <c r="A203">
        <v>1902</v>
      </c>
      <c r="B203" t="s">
        <v>305</v>
      </c>
      <c r="C203" s="20">
        <v>39365</v>
      </c>
      <c r="E203" s="20">
        <v>39405</v>
      </c>
      <c r="F203" s="1" t="s">
        <v>122</v>
      </c>
    </row>
    <row r="204" spans="1:6" x14ac:dyDescent="0.25">
      <c r="A204">
        <v>1903</v>
      </c>
      <c r="B204" t="s">
        <v>306</v>
      </c>
      <c r="C204" s="20">
        <v>39366</v>
      </c>
      <c r="E204" s="20">
        <v>39367</v>
      </c>
      <c r="F204" s="1" t="s">
        <v>122</v>
      </c>
    </row>
    <row r="205" spans="1:6" x14ac:dyDescent="0.25">
      <c r="A205">
        <v>1904</v>
      </c>
      <c r="B205" t="s">
        <v>307</v>
      </c>
      <c r="C205" s="20">
        <v>39367</v>
      </c>
      <c r="E205" s="20">
        <v>39395</v>
      </c>
      <c r="F205" s="1" t="s">
        <v>122</v>
      </c>
    </row>
    <row r="206" spans="1:6" x14ac:dyDescent="0.25">
      <c r="A206">
        <v>1905</v>
      </c>
      <c r="B206" t="s">
        <v>308</v>
      </c>
      <c r="C206" s="20">
        <v>39367</v>
      </c>
      <c r="E206" s="20">
        <v>39447</v>
      </c>
      <c r="F206" s="1" t="s">
        <v>122</v>
      </c>
    </row>
    <row r="207" spans="1:6" x14ac:dyDescent="0.25">
      <c r="A207">
        <v>1906</v>
      </c>
      <c r="B207" t="s">
        <v>309</v>
      </c>
      <c r="C207" s="20">
        <v>39371</v>
      </c>
      <c r="E207" s="20">
        <v>39431</v>
      </c>
      <c r="F207" s="1" t="s">
        <v>122</v>
      </c>
    </row>
    <row r="208" spans="1:6" x14ac:dyDescent="0.25">
      <c r="A208">
        <v>1907</v>
      </c>
      <c r="B208" t="s">
        <v>310</v>
      </c>
      <c r="C208" s="20">
        <v>39371</v>
      </c>
      <c r="E208" s="20">
        <v>39431</v>
      </c>
      <c r="F208" s="1" t="s">
        <v>122</v>
      </c>
    </row>
    <row r="209" spans="1:6" x14ac:dyDescent="0.25">
      <c r="A209">
        <v>1908</v>
      </c>
      <c r="B209" t="s">
        <v>311</v>
      </c>
      <c r="C209" s="20">
        <v>39373</v>
      </c>
      <c r="E209" s="20">
        <v>39403</v>
      </c>
      <c r="F209" s="1" t="s">
        <v>122</v>
      </c>
    </row>
    <row r="210" spans="1:6" x14ac:dyDescent="0.25">
      <c r="A210">
        <v>1909</v>
      </c>
      <c r="B210" t="s">
        <v>312</v>
      </c>
      <c r="C210" s="20">
        <v>39378</v>
      </c>
      <c r="E210" s="20">
        <v>39407</v>
      </c>
      <c r="F210" s="1" t="s">
        <v>122</v>
      </c>
    </row>
    <row r="211" spans="1:6" x14ac:dyDescent="0.25">
      <c r="A211">
        <v>1910</v>
      </c>
      <c r="B211" t="s">
        <v>313</v>
      </c>
      <c r="C211" s="20">
        <v>39385</v>
      </c>
      <c r="E211" s="20">
        <v>40178</v>
      </c>
      <c r="F211" s="1" t="s">
        <v>122</v>
      </c>
    </row>
    <row r="212" spans="1:6" x14ac:dyDescent="0.25">
      <c r="A212">
        <v>1911</v>
      </c>
      <c r="B212" t="s">
        <v>314</v>
      </c>
      <c r="C212" s="20">
        <v>39388</v>
      </c>
      <c r="E212" s="20">
        <v>39394</v>
      </c>
      <c r="F212" s="1" t="s">
        <v>122</v>
      </c>
    </row>
    <row r="213" spans="1:6" x14ac:dyDescent="0.25">
      <c r="A213">
        <v>1912</v>
      </c>
      <c r="B213" t="s">
        <v>315</v>
      </c>
      <c r="C213" s="20">
        <v>39387</v>
      </c>
      <c r="E213" s="20">
        <v>39416</v>
      </c>
      <c r="F213" s="1" t="s">
        <v>122</v>
      </c>
    </row>
    <row r="214" spans="1:6" x14ac:dyDescent="0.25">
      <c r="A214">
        <v>1913</v>
      </c>
      <c r="B214" t="s">
        <v>316</v>
      </c>
      <c r="C214" s="20">
        <v>39392</v>
      </c>
      <c r="E214" s="20">
        <v>39568</v>
      </c>
      <c r="F214" s="1" t="s">
        <v>122</v>
      </c>
    </row>
    <row r="215" spans="1:6" x14ac:dyDescent="0.25">
      <c r="A215">
        <v>1914</v>
      </c>
      <c r="B215" t="s">
        <v>317</v>
      </c>
      <c r="C215" s="20">
        <v>39392</v>
      </c>
      <c r="E215" s="20">
        <v>39406</v>
      </c>
      <c r="F215" s="1" t="s">
        <v>122</v>
      </c>
    </row>
    <row r="216" spans="1:6" x14ac:dyDescent="0.25">
      <c r="A216">
        <v>1915</v>
      </c>
      <c r="B216" t="s">
        <v>318</v>
      </c>
      <c r="C216" s="20">
        <v>39392</v>
      </c>
      <c r="E216" s="20">
        <v>39417</v>
      </c>
      <c r="F216" s="1" t="s">
        <v>122</v>
      </c>
    </row>
    <row r="217" spans="1:6" x14ac:dyDescent="0.25">
      <c r="A217">
        <v>1916</v>
      </c>
      <c r="B217" t="s">
        <v>319</v>
      </c>
      <c r="C217" s="20">
        <v>39394</v>
      </c>
      <c r="E217" s="20">
        <v>39401</v>
      </c>
      <c r="F217" s="1" t="s">
        <v>122</v>
      </c>
    </row>
    <row r="218" spans="1:6" x14ac:dyDescent="0.25">
      <c r="A218">
        <v>1917</v>
      </c>
      <c r="B218" t="s">
        <v>320</v>
      </c>
      <c r="C218" s="20">
        <v>39395</v>
      </c>
      <c r="E218" s="20">
        <v>39447</v>
      </c>
      <c r="F218" s="1" t="s">
        <v>122</v>
      </c>
    </row>
    <row r="219" spans="1:6" x14ac:dyDescent="0.25">
      <c r="A219">
        <v>1918</v>
      </c>
      <c r="B219" t="s">
        <v>321</v>
      </c>
      <c r="C219" s="20">
        <v>39401</v>
      </c>
      <c r="E219" s="20">
        <v>39411</v>
      </c>
      <c r="F219" s="1" t="s">
        <v>122</v>
      </c>
    </row>
    <row r="220" spans="1:6" x14ac:dyDescent="0.25">
      <c r="A220">
        <v>1919</v>
      </c>
      <c r="B220" t="s">
        <v>322</v>
      </c>
      <c r="C220" s="20">
        <v>39413</v>
      </c>
      <c r="E220" s="20">
        <v>39446</v>
      </c>
      <c r="F220" s="1" t="s">
        <v>122</v>
      </c>
    </row>
    <row r="221" spans="1:6" x14ac:dyDescent="0.25">
      <c r="A221">
        <v>1920</v>
      </c>
      <c r="B221" t="s">
        <v>323</v>
      </c>
      <c r="C221" s="20">
        <v>39413</v>
      </c>
      <c r="E221" s="20">
        <v>39431</v>
      </c>
      <c r="F221" s="1" t="s">
        <v>122</v>
      </c>
    </row>
    <row r="222" spans="1:6" x14ac:dyDescent="0.25">
      <c r="A222">
        <v>1921</v>
      </c>
      <c r="B222" t="s">
        <v>324</v>
      </c>
      <c r="C222" s="20">
        <v>39413</v>
      </c>
      <c r="E222" s="20">
        <v>39462</v>
      </c>
      <c r="F222" s="1" t="s">
        <v>122</v>
      </c>
    </row>
    <row r="223" spans="1:6" x14ac:dyDescent="0.25">
      <c r="A223">
        <v>1922</v>
      </c>
      <c r="B223" t="s">
        <v>325</v>
      </c>
      <c r="C223" s="20">
        <v>39413</v>
      </c>
      <c r="E223" s="20">
        <v>39419</v>
      </c>
      <c r="F223" s="1" t="s">
        <v>122</v>
      </c>
    </row>
    <row r="224" spans="1:6" x14ac:dyDescent="0.25">
      <c r="A224">
        <v>1923</v>
      </c>
      <c r="B224" t="s">
        <v>326</v>
      </c>
      <c r="C224" s="20">
        <v>39416</v>
      </c>
      <c r="E224" s="20">
        <v>39568</v>
      </c>
      <c r="F224" s="1" t="s">
        <v>122</v>
      </c>
    </row>
    <row r="225" spans="1:6" x14ac:dyDescent="0.25">
      <c r="A225">
        <v>1924</v>
      </c>
      <c r="B225" t="s">
        <v>327</v>
      </c>
      <c r="C225" s="20">
        <v>39416</v>
      </c>
      <c r="E225" s="20">
        <v>39568</v>
      </c>
      <c r="F225" s="1" t="s">
        <v>122</v>
      </c>
    </row>
    <row r="226" spans="1:6" x14ac:dyDescent="0.25">
      <c r="A226">
        <v>1925</v>
      </c>
      <c r="B226" t="s">
        <v>328</v>
      </c>
      <c r="C226" s="20">
        <v>39416</v>
      </c>
      <c r="E226" s="20">
        <v>39568</v>
      </c>
      <c r="F226" s="1" t="s">
        <v>122</v>
      </c>
    </row>
    <row r="227" spans="1:6" x14ac:dyDescent="0.25">
      <c r="A227">
        <v>1926</v>
      </c>
      <c r="B227" t="s">
        <v>329</v>
      </c>
      <c r="C227" s="20">
        <v>39416</v>
      </c>
      <c r="E227" s="20">
        <v>39568</v>
      </c>
      <c r="F227" s="1" t="s">
        <v>122</v>
      </c>
    </row>
    <row r="228" spans="1:6" x14ac:dyDescent="0.25">
      <c r="A228">
        <v>1927</v>
      </c>
      <c r="B228" t="s">
        <v>330</v>
      </c>
      <c r="C228" s="20">
        <v>39416</v>
      </c>
      <c r="E228" s="20">
        <v>39568</v>
      </c>
      <c r="F228" s="1" t="s">
        <v>122</v>
      </c>
    </row>
    <row r="229" spans="1:6" x14ac:dyDescent="0.25">
      <c r="A229">
        <v>1928</v>
      </c>
      <c r="B229" t="s">
        <v>331</v>
      </c>
      <c r="C229" s="20">
        <v>39377</v>
      </c>
      <c r="E229" s="20">
        <v>39383</v>
      </c>
      <c r="F229" s="1" t="s">
        <v>122</v>
      </c>
    </row>
    <row r="230" spans="1:6" x14ac:dyDescent="0.25">
      <c r="A230">
        <v>1929</v>
      </c>
      <c r="B230" t="s">
        <v>332</v>
      </c>
      <c r="C230" s="20">
        <v>39420</v>
      </c>
      <c r="E230" s="20">
        <v>39447</v>
      </c>
      <c r="F230" s="1" t="s">
        <v>122</v>
      </c>
    </row>
    <row r="231" spans="1:6" x14ac:dyDescent="0.25">
      <c r="A231">
        <v>1930</v>
      </c>
      <c r="B231" t="s">
        <v>333</v>
      </c>
      <c r="C231" s="20">
        <v>39449</v>
      </c>
      <c r="E231" s="20">
        <v>39478</v>
      </c>
      <c r="F231" s="1" t="s">
        <v>122</v>
      </c>
    </row>
    <row r="232" spans="1:6" x14ac:dyDescent="0.25">
      <c r="A232">
        <v>1931</v>
      </c>
      <c r="B232" t="s">
        <v>334</v>
      </c>
      <c r="C232" s="20">
        <v>39450</v>
      </c>
      <c r="E232" s="20">
        <v>39721</v>
      </c>
      <c r="F232" s="1" t="s">
        <v>122</v>
      </c>
    </row>
    <row r="233" spans="1:6" x14ac:dyDescent="0.25">
      <c r="A233">
        <v>1932</v>
      </c>
      <c r="B233" t="s">
        <v>335</v>
      </c>
      <c r="C233" s="20">
        <v>39454</v>
      </c>
      <c r="E233" s="20">
        <v>39498</v>
      </c>
      <c r="F233" s="1" t="s">
        <v>122</v>
      </c>
    </row>
    <row r="234" spans="1:6" x14ac:dyDescent="0.25">
      <c r="A234">
        <v>1933</v>
      </c>
      <c r="B234" t="s">
        <v>336</v>
      </c>
      <c r="C234" s="20">
        <v>39463</v>
      </c>
      <c r="E234" s="20">
        <v>39629</v>
      </c>
      <c r="F234" s="1" t="s">
        <v>122</v>
      </c>
    </row>
    <row r="235" spans="1:6" x14ac:dyDescent="0.25">
      <c r="A235">
        <v>1934</v>
      </c>
      <c r="B235" t="s">
        <v>337</v>
      </c>
      <c r="C235" s="20">
        <v>39464</v>
      </c>
      <c r="E235" s="20">
        <v>39507</v>
      </c>
      <c r="F235" s="1" t="s">
        <v>122</v>
      </c>
    </row>
    <row r="236" spans="1:6" x14ac:dyDescent="0.25">
      <c r="A236">
        <v>1935</v>
      </c>
      <c r="B236" t="s">
        <v>338</v>
      </c>
      <c r="C236" s="20">
        <v>39470</v>
      </c>
      <c r="E236" s="20">
        <v>39629</v>
      </c>
      <c r="F236" s="1" t="s">
        <v>122</v>
      </c>
    </row>
    <row r="237" spans="1:6" x14ac:dyDescent="0.25">
      <c r="A237">
        <v>1936</v>
      </c>
      <c r="B237" t="s">
        <v>339</v>
      </c>
      <c r="C237" s="20">
        <v>39479</v>
      </c>
      <c r="E237" s="20">
        <v>39507</v>
      </c>
      <c r="F237" s="1" t="s">
        <v>122</v>
      </c>
    </row>
    <row r="238" spans="1:6" x14ac:dyDescent="0.25">
      <c r="A238">
        <v>1937</v>
      </c>
      <c r="B238" t="s">
        <v>340</v>
      </c>
      <c r="C238" s="20">
        <v>39486</v>
      </c>
      <c r="E238" s="20">
        <v>39507</v>
      </c>
      <c r="F238" s="1" t="s">
        <v>122</v>
      </c>
    </row>
    <row r="239" spans="1:6" x14ac:dyDescent="0.25">
      <c r="A239">
        <v>1938</v>
      </c>
      <c r="B239" t="s">
        <v>341</v>
      </c>
      <c r="C239" s="20">
        <v>39489</v>
      </c>
      <c r="E239" s="20">
        <v>39538</v>
      </c>
      <c r="F239" s="1" t="s">
        <v>122</v>
      </c>
    </row>
    <row r="240" spans="1:6" x14ac:dyDescent="0.25">
      <c r="A240">
        <v>1939</v>
      </c>
      <c r="B240" t="s">
        <v>342</v>
      </c>
      <c r="C240" s="20">
        <v>39489</v>
      </c>
      <c r="E240" s="20">
        <v>39537</v>
      </c>
      <c r="F240" s="1" t="s">
        <v>122</v>
      </c>
    </row>
    <row r="241" spans="1:6" x14ac:dyDescent="0.25">
      <c r="A241">
        <v>1940</v>
      </c>
      <c r="B241" t="s">
        <v>343</v>
      </c>
      <c r="C241" s="20">
        <v>39492</v>
      </c>
      <c r="E241" s="20">
        <v>39542</v>
      </c>
      <c r="F241" s="1" t="s">
        <v>122</v>
      </c>
    </row>
    <row r="242" spans="1:6" x14ac:dyDescent="0.25">
      <c r="A242">
        <v>1941</v>
      </c>
      <c r="B242" t="s">
        <v>344</v>
      </c>
      <c r="C242" s="20">
        <v>39499</v>
      </c>
      <c r="E242" s="20">
        <v>39514</v>
      </c>
      <c r="F242" s="1" t="s">
        <v>122</v>
      </c>
    </row>
    <row r="243" spans="1:6" x14ac:dyDescent="0.25">
      <c r="A243">
        <v>1942</v>
      </c>
      <c r="B243" t="s">
        <v>345</v>
      </c>
      <c r="C243" s="20">
        <v>39503</v>
      </c>
      <c r="E243" s="20">
        <v>39568</v>
      </c>
      <c r="F243" s="1" t="s">
        <v>122</v>
      </c>
    </row>
    <row r="244" spans="1:6" x14ac:dyDescent="0.25">
      <c r="A244">
        <v>1943</v>
      </c>
      <c r="B244" t="s">
        <v>346</v>
      </c>
      <c r="C244" s="20">
        <v>39503</v>
      </c>
      <c r="E244" s="20">
        <v>39568</v>
      </c>
      <c r="F244" s="1" t="s">
        <v>122</v>
      </c>
    </row>
    <row r="245" spans="1:6" x14ac:dyDescent="0.25">
      <c r="A245">
        <v>1944</v>
      </c>
      <c r="B245" t="s">
        <v>347</v>
      </c>
      <c r="C245" s="20">
        <v>39503</v>
      </c>
      <c r="E245" s="20">
        <v>39568</v>
      </c>
      <c r="F245" s="1" t="s">
        <v>122</v>
      </c>
    </row>
    <row r="246" spans="1:6" x14ac:dyDescent="0.25">
      <c r="A246">
        <v>1945</v>
      </c>
      <c r="B246" t="s">
        <v>348</v>
      </c>
      <c r="C246" s="20">
        <v>39503</v>
      </c>
      <c r="E246" s="20">
        <v>39568</v>
      </c>
      <c r="F246" s="1" t="s">
        <v>122</v>
      </c>
    </row>
    <row r="247" spans="1:6" x14ac:dyDescent="0.25">
      <c r="A247">
        <v>1946</v>
      </c>
      <c r="B247" t="s">
        <v>349</v>
      </c>
      <c r="C247" s="20">
        <v>39503</v>
      </c>
      <c r="E247" s="20">
        <v>39568</v>
      </c>
      <c r="F247" s="1" t="s">
        <v>122</v>
      </c>
    </row>
    <row r="248" spans="1:6" x14ac:dyDescent="0.25">
      <c r="A248">
        <v>1947</v>
      </c>
      <c r="B248" t="s">
        <v>350</v>
      </c>
      <c r="C248" s="20">
        <v>39503</v>
      </c>
      <c r="E248" s="20">
        <v>39568</v>
      </c>
      <c r="F248" s="1" t="s">
        <v>122</v>
      </c>
    </row>
    <row r="249" spans="1:6" x14ac:dyDescent="0.25">
      <c r="A249">
        <v>1948</v>
      </c>
      <c r="B249" t="s">
        <v>351</v>
      </c>
      <c r="C249" s="20">
        <v>39510</v>
      </c>
      <c r="E249" s="20">
        <v>39538</v>
      </c>
      <c r="F249" s="1" t="s">
        <v>122</v>
      </c>
    </row>
    <row r="250" spans="1:6" x14ac:dyDescent="0.25">
      <c r="A250">
        <v>1949</v>
      </c>
      <c r="B250" t="s">
        <v>352</v>
      </c>
      <c r="C250" s="20">
        <v>39513</v>
      </c>
      <c r="E250" s="20">
        <v>39538</v>
      </c>
      <c r="F250" s="1" t="s">
        <v>122</v>
      </c>
    </row>
    <row r="251" spans="1:6" x14ac:dyDescent="0.25">
      <c r="A251">
        <v>1950</v>
      </c>
      <c r="B251" t="s">
        <v>353</v>
      </c>
      <c r="C251" s="20">
        <v>39513</v>
      </c>
      <c r="E251" s="20">
        <v>39584</v>
      </c>
      <c r="F251" s="1" t="s">
        <v>122</v>
      </c>
    </row>
    <row r="252" spans="1:6" x14ac:dyDescent="0.25">
      <c r="A252">
        <v>1951</v>
      </c>
      <c r="B252" t="s">
        <v>354</v>
      </c>
      <c r="C252" s="20">
        <v>39521</v>
      </c>
      <c r="E252" s="20">
        <v>39553</v>
      </c>
      <c r="F252" s="1" t="s">
        <v>122</v>
      </c>
    </row>
    <row r="253" spans="1:6" x14ac:dyDescent="0.25">
      <c r="A253">
        <v>1952</v>
      </c>
      <c r="B253" t="s">
        <v>355</v>
      </c>
      <c r="C253" s="20">
        <v>39525</v>
      </c>
      <c r="E253" s="20">
        <v>39568</v>
      </c>
      <c r="F253" s="1" t="s">
        <v>122</v>
      </c>
    </row>
    <row r="254" spans="1:6" x14ac:dyDescent="0.25">
      <c r="A254">
        <v>1953</v>
      </c>
      <c r="B254" t="s">
        <v>356</v>
      </c>
      <c r="C254" s="20">
        <v>39534</v>
      </c>
      <c r="E254" s="20">
        <v>39553</v>
      </c>
      <c r="F254" s="1" t="s">
        <v>122</v>
      </c>
    </row>
    <row r="255" spans="1:6" x14ac:dyDescent="0.25">
      <c r="A255">
        <v>1954</v>
      </c>
      <c r="B255" t="s">
        <v>357</v>
      </c>
      <c r="C255" s="20">
        <v>39534</v>
      </c>
      <c r="E255" s="20">
        <v>39578</v>
      </c>
      <c r="F255" s="1" t="s">
        <v>122</v>
      </c>
    </row>
    <row r="256" spans="1:6" x14ac:dyDescent="0.25">
      <c r="A256">
        <v>1955</v>
      </c>
      <c r="B256" t="s">
        <v>358</v>
      </c>
      <c r="C256" s="20">
        <v>39539</v>
      </c>
      <c r="E256" s="20">
        <v>39568</v>
      </c>
      <c r="F256" s="1" t="s">
        <v>122</v>
      </c>
    </row>
    <row r="257" spans="1:6" x14ac:dyDescent="0.25">
      <c r="A257">
        <v>1956</v>
      </c>
      <c r="B257" t="s">
        <v>359</v>
      </c>
      <c r="C257" s="20">
        <v>39539</v>
      </c>
      <c r="E257" s="20">
        <v>39629</v>
      </c>
      <c r="F257" s="1" t="s">
        <v>122</v>
      </c>
    </row>
    <row r="258" spans="1:6" x14ac:dyDescent="0.25">
      <c r="A258">
        <v>1957</v>
      </c>
      <c r="B258" t="s">
        <v>360</v>
      </c>
      <c r="C258" s="20">
        <v>39540</v>
      </c>
      <c r="E258" s="20">
        <v>39568</v>
      </c>
      <c r="F258" s="1" t="s">
        <v>122</v>
      </c>
    </row>
    <row r="259" spans="1:6" x14ac:dyDescent="0.25">
      <c r="A259">
        <v>1958</v>
      </c>
      <c r="B259" t="s">
        <v>361</v>
      </c>
      <c r="C259" s="20">
        <v>39546</v>
      </c>
      <c r="E259" s="20">
        <v>39598</v>
      </c>
      <c r="F259" s="1" t="s">
        <v>122</v>
      </c>
    </row>
    <row r="260" spans="1:6" x14ac:dyDescent="0.25">
      <c r="A260">
        <v>1959</v>
      </c>
      <c r="B260" t="s">
        <v>362</v>
      </c>
      <c r="C260" s="20">
        <v>39546</v>
      </c>
      <c r="E260" s="20">
        <v>39629</v>
      </c>
      <c r="F260" s="1" t="s">
        <v>122</v>
      </c>
    </row>
    <row r="261" spans="1:6" x14ac:dyDescent="0.25">
      <c r="A261">
        <v>1960</v>
      </c>
      <c r="B261" t="s">
        <v>363</v>
      </c>
      <c r="C261" s="20">
        <v>39547</v>
      </c>
      <c r="E261" s="20">
        <v>39629</v>
      </c>
      <c r="F261" s="1" t="s">
        <v>122</v>
      </c>
    </row>
    <row r="262" spans="1:6" x14ac:dyDescent="0.25">
      <c r="A262">
        <v>1961</v>
      </c>
      <c r="B262" t="s">
        <v>364</v>
      </c>
      <c r="C262" s="20">
        <v>39560</v>
      </c>
      <c r="E262" s="20">
        <v>39598</v>
      </c>
      <c r="F262" s="1" t="s">
        <v>122</v>
      </c>
    </row>
    <row r="263" spans="1:6" x14ac:dyDescent="0.25">
      <c r="A263">
        <v>1962</v>
      </c>
      <c r="B263" t="s">
        <v>365</v>
      </c>
      <c r="C263" s="20">
        <v>39560</v>
      </c>
      <c r="E263" s="20">
        <v>39721</v>
      </c>
      <c r="F263" s="1" t="s">
        <v>122</v>
      </c>
    </row>
    <row r="264" spans="1:6" x14ac:dyDescent="0.25">
      <c r="A264">
        <v>1963</v>
      </c>
      <c r="B264" t="s">
        <v>366</v>
      </c>
      <c r="C264" s="20">
        <v>39567</v>
      </c>
      <c r="E264" s="20">
        <v>39568</v>
      </c>
      <c r="F264" s="1" t="s">
        <v>122</v>
      </c>
    </row>
    <row r="265" spans="1:6" x14ac:dyDescent="0.25">
      <c r="A265">
        <v>1964</v>
      </c>
      <c r="B265" t="s">
        <v>367</v>
      </c>
      <c r="C265" s="20">
        <v>39569</v>
      </c>
      <c r="E265" s="20">
        <v>39599</v>
      </c>
      <c r="F265" s="1" t="s">
        <v>122</v>
      </c>
    </row>
    <row r="266" spans="1:6" x14ac:dyDescent="0.25">
      <c r="A266">
        <v>1965</v>
      </c>
      <c r="B266" t="s">
        <v>368</v>
      </c>
      <c r="C266" s="20">
        <v>39575</v>
      </c>
      <c r="E266" s="20">
        <v>39933</v>
      </c>
      <c r="F266" s="1" t="s">
        <v>122</v>
      </c>
    </row>
    <row r="267" spans="1:6" x14ac:dyDescent="0.25">
      <c r="A267">
        <v>1966</v>
      </c>
      <c r="B267" t="s">
        <v>369</v>
      </c>
      <c r="C267" s="20">
        <v>39581</v>
      </c>
      <c r="E267" s="20">
        <v>39599</v>
      </c>
      <c r="F267" s="1" t="s">
        <v>122</v>
      </c>
    </row>
    <row r="268" spans="1:6" x14ac:dyDescent="0.25">
      <c r="A268">
        <v>1967</v>
      </c>
      <c r="B268" t="s">
        <v>370</v>
      </c>
      <c r="C268" s="20">
        <v>39589</v>
      </c>
      <c r="E268" s="20">
        <v>39629</v>
      </c>
      <c r="F268" s="1" t="s">
        <v>122</v>
      </c>
    </row>
    <row r="269" spans="1:6" x14ac:dyDescent="0.25">
      <c r="A269">
        <v>1968</v>
      </c>
      <c r="B269" t="s">
        <v>371</v>
      </c>
      <c r="C269" s="20">
        <v>39600</v>
      </c>
      <c r="E269" s="20">
        <v>39629</v>
      </c>
      <c r="F269" s="1" t="s">
        <v>122</v>
      </c>
    </row>
    <row r="270" spans="1:6" x14ac:dyDescent="0.25">
      <c r="A270">
        <v>1969</v>
      </c>
      <c r="B270" t="s">
        <v>372</v>
      </c>
      <c r="C270" s="20">
        <v>39601</v>
      </c>
      <c r="E270" s="20">
        <v>39660</v>
      </c>
      <c r="F270" s="1" t="s">
        <v>122</v>
      </c>
    </row>
    <row r="271" spans="1:6" x14ac:dyDescent="0.25">
      <c r="A271">
        <v>1970</v>
      </c>
      <c r="B271" t="s">
        <v>373</v>
      </c>
      <c r="C271" s="20">
        <v>39608</v>
      </c>
      <c r="E271" s="20">
        <v>39616</v>
      </c>
      <c r="F271" s="1" t="s">
        <v>122</v>
      </c>
    </row>
    <row r="272" spans="1:6" x14ac:dyDescent="0.25">
      <c r="A272">
        <v>1971</v>
      </c>
      <c r="B272" t="s">
        <v>374</v>
      </c>
      <c r="C272" s="20">
        <v>39617</v>
      </c>
      <c r="E272" s="20">
        <v>39630</v>
      </c>
      <c r="F272" s="1" t="s">
        <v>122</v>
      </c>
    </row>
    <row r="273" spans="1:6" x14ac:dyDescent="0.25">
      <c r="A273">
        <v>1972</v>
      </c>
      <c r="B273" t="s">
        <v>375</v>
      </c>
      <c r="C273" s="20">
        <v>39622</v>
      </c>
      <c r="E273" s="20">
        <v>39675</v>
      </c>
      <c r="F273" s="1" t="s">
        <v>122</v>
      </c>
    </row>
    <row r="274" spans="1:6" x14ac:dyDescent="0.25">
      <c r="A274">
        <v>1973</v>
      </c>
      <c r="B274" t="s">
        <v>376</v>
      </c>
      <c r="C274" s="20">
        <v>39623</v>
      </c>
      <c r="E274" s="20">
        <v>39660</v>
      </c>
      <c r="F274" s="1" t="s">
        <v>122</v>
      </c>
    </row>
    <row r="275" spans="1:6" x14ac:dyDescent="0.25">
      <c r="A275">
        <v>1974</v>
      </c>
      <c r="B275" t="s">
        <v>377</v>
      </c>
      <c r="C275" s="20">
        <v>39623</v>
      </c>
      <c r="E275" s="20">
        <v>39661</v>
      </c>
      <c r="F275" s="1" t="s">
        <v>122</v>
      </c>
    </row>
    <row r="276" spans="1:6" x14ac:dyDescent="0.25">
      <c r="A276">
        <v>1975</v>
      </c>
      <c r="B276" t="s">
        <v>378</v>
      </c>
      <c r="C276" s="20">
        <v>39623</v>
      </c>
      <c r="E276" s="20">
        <v>40026</v>
      </c>
      <c r="F276" s="1" t="s">
        <v>122</v>
      </c>
    </row>
    <row r="277" spans="1:6" x14ac:dyDescent="0.25">
      <c r="A277">
        <v>1976</v>
      </c>
      <c r="B277" t="s">
        <v>379</v>
      </c>
      <c r="C277" s="20">
        <v>39623</v>
      </c>
      <c r="E277" s="20">
        <v>40026</v>
      </c>
      <c r="F277" s="1" t="s">
        <v>122</v>
      </c>
    </row>
    <row r="278" spans="1:6" x14ac:dyDescent="0.25">
      <c r="A278">
        <v>1977</v>
      </c>
      <c r="B278" t="s">
        <v>380</v>
      </c>
      <c r="C278" s="20">
        <v>39623</v>
      </c>
      <c r="E278" s="20">
        <v>40026</v>
      </c>
      <c r="F278" s="1" t="s">
        <v>122</v>
      </c>
    </row>
    <row r="279" spans="1:6" x14ac:dyDescent="0.25">
      <c r="A279">
        <v>1978</v>
      </c>
      <c r="B279" t="s">
        <v>381</v>
      </c>
      <c r="C279" s="20">
        <v>39623</v>
      </c>
      <c r="E279" s="20">
        <v>40026</v>
      </c>
      <c r="F279" s="1" t="s">
        <v>122</v>
      </c>
    </row>
    <row r="280" spans="1:6" x14ac:dyDescent="0.25">
      <c r="A280">
        <v>1979</v>
      </c>
      <c r="B280" t="s">
        <v>382</v>
      </c>
      <c r="C280" s="20">
        <v>39624</v>
      </c>
      <c r="E280" s="20">
        <v>39933</v>
      </c>
      <c r="F280" s="1" t="s">
        <v>122</v>
      </c>
    </row>
    <row r="281" spans="1:6" x14ac:dyDescent="0.25">
      <c r="A281">
        <v>1980</v>
      </c>
      <c r="B281" t="s">
        <v>383</v>
      </c>
      <c r="C281" s="20">
        <v>39624</v>
      </c>
      <c r="E281" s="20">
        <v>39933</v>
      </c>
      <c r="F281" s="1" t="s">
        <v>122</v>
      </c>
    </row>
    <row r="282" spans="1:6" x14ac:dyDescent="0.25">
      <c r="A282">
        <v>1981</v>
      </c>
      <c r="B282" t="s">
        <v>384</v>
      </c>
      <c r="C282" s="20">
        <v>39624</v>
      </c>
      <c r="E282" s="20">
        <v>39933</v>
      </c>
      <c r="F282" s="1" t="s">
        <v>122</v>
      </c>
    </row>
    <row r="283" spans="1:6" x14ac:dyDescent="0.25">
      <c r="A283">
        <v>1982</v>
      </c>
      <c r="B283" t="s">
        <v>385</v>
      </c>
      <c r="C283" s="20">
        <v>39624</v>
      </c>
      <c r="E283" s="20">
        <v>39933</v>
      </c>
      <c r="F283" s="1" t="s">
        <v>122</v>
      </c>
    </row>
    <row r="284" spans="1:6" x14ac:dyDescent="0.25">
      <c r="A284">
        <v>1983</v>
      </c>
      <c r="B284" t="s">
        <v>386</v>
      </c>
      <c r="C284" s="20">
        <v>39625</v>
      </c>
      <c r="E284" s="20">
        <v>39933</v>
      </c>
      <c r="F284" s="1" t="s">
        <v>122</v>
      </c>
    </row>
    <row r="285" spans="1:6" x14ac:dyDescent="0.25">
      <c r="A285">
        <v>1984</v>
      </c>
      <c r="B285" t="s">
        <v>387</v>
      </c>
      <c r="C285" s="20">
        <v>39625</v>
      </c>
      <c r="E285" s="20">
        <v>39933</v>
      </c>
      <c r="F285" s="1" t="s">
        <v>122</v>
      </c>
    </row>
    <row r="286" spans="1:6" x14ac:dyDescent="0.25">
      <c r="A286">
        <v>1985</v>
      </c>
      <c r="B286" t="s">
        <v>388</v>
      </c>
      <c r="C286" s="20">
        <v>39625</v>
      </c>
      <c r="E286" s="20">
        <v>39933</v>
      </c>
      <c r="F286" s="1" t="s">
        <v>122</v>
      </c>
    </row>
    <row r="287" spans="1:6" x14ac:dyDescent="0.25">
      <c r="A287">
        <v>1986</v>
      </c>
      <c r="B287" t="s">
        <v>389</v>
      </c>
      <c r="C287" s="20">
        <v>39625</v>
      </c>
      <c r="E287" s="20">
        <v>39933</v>
      </c>
      <c r="F287" s="1" t="s">
        <v>122</v>
      </c>
    </row>
    <row r="288" spans="1:6" x14ac:dyDescent="0.25">
      <c r="A288">
        <v>1987</v>
      </c>
      <c r="B288" t="s">
        <v>390</v>
      </c>
      <c r="C288" s="20">
        <v>39625</v>
      </c>
      <c r="E288" s="20">
        <v>39933</v>
      </c>
      <c r="F288" s="1" t="s">
        <v>122</v>
      </c>
    </row>
    <row r="289" spans="1:6" x14ac:dyDescent="0.25">
      <c r="A289">
        <v>1988</v>
      </c>
      <c r="B289" t="s">
        <v>391</v>
      </c>
      <c r="C289" s="20">
        <v>39625</v>
      </c>
      <c r="E289" s="20">
        <v>39933</v>
      </c>
      <c r="F289" s="1" t="s">
        <v>122</v>
      </c>
    </row>
    <row r="290" spans="1:6" x14ac:dyDescent="0.25">
      <c r="A290">
        <v>1989</v>
      </c>
      <c r="B290" t="s">
        <v>392</v>
      </c>
      <c r="C290" s="20">
        <v>39625</v>
      </c>
      <c r="E290" s="20">
        <v>39933</v>
      </c>
      <c r="F290" s="1" t="s">
        <v>122</v>
      </c>
    </row>
    <row r="291" spans="1:6" x14ac:dyDescent="0.25">
      <c r="A291">
        <v>1990</v>
      </c>
      <c r="B291" t="s">
        <v>393</v>
      </c>
      <c r="C291" s="20">
        <v>39625</v>
      </c>
      <c r="E291" s="20">
        <v>39625</v>
      </c>
      <c r="F291" s="1" t="s">
        <v>122</v>
      </c>
    </row>
    <row r="292" spans="1:6" x14ac:dyDescent="0.25">
      <c r="A292">
        <v>1991</v>
      </c>
      <c r="B292" t="s">
        <v>394</v>
      </c>
      <c r="C292" s="20">
        <v>39625</v>
      </c>
      <c r="E292" s="20">
        <v>39933</v>
      </c>
      <c r="F292" s="1" t="s">
        <v>122</v>
      </c>
    </row>
    <row r="293" spans="1:6" x14ac:dyDescent="0.25">
      <c r="A293">
        <v>1992</v>
      </c>
      <c r="B293" t="s">
        <v>395</v>
      </c>
      <c r="C293" s="20">
        <v>39625</v>
      </c>
      <c r="E293" s="20">
        <v>39933</v>
      </c>
      <c r="F293" s="1" t="s">
        <v>122</v>
      </c>
    </row>
    <row r="294" spans="1:6" x14ac:dyDescent="0.25">
      <c r="A294">
        <v>1993</v>
      </c>
      <c r="B294" t="s">
        <v>396</v>
      </c>
      <c r="C294" s="20">
        <v>39625</v>
      </c>
      <c r="E294" s="20">
        <v>39933</v>
      </c>
      <c r="F294" s="1" t="s">
        <v>122</v>
      </c>
    </row>
    <row r="295" spans="1:6" x14ac:dyDescent="0.25">
      <c r="A295">
        <v>1994</v>
      </c>
      <c r="B295" t="s">
        <v>397</v>
      </c>
      <c r="C295" s="20">
        <v>39626</v>
      </c>
      <c r="E295" s="20">
        <v>39933</v>
      </c>
      <c r="F295" s="1" t="s">
        <v>122</v>
      </c>
    </row>
    <row r="296" spans="1:6" x14ac:dyDescent="0.25">
      <c r="A296">
        <v>1995</v>
      </c>
      <c r="B296" t="s">
        <v>398</v>
      </c>
      <c r="C296" s="20">
        <v>39626</v>
      </c>
      <c r="E296" s="20">
        <v>39933</v>
      </c>
      <c r="F296" s="1" t="s">
        <v>122</v>
      </c>
    </row>
    <row r="297" spans="1:6" x14ac:dyDescent="0.25">
      <c r="A297">
        <v>1996</v>
      </c>
      <c r="B297" t="s">
        <v>399</v>
      </c>
      <c r="C297" s="20">
        <v>39626</v>
      </c>
      <c r="E297" s="20">
        <v>39933</v>
      </c>
      <c r="F297" s="1" t="s">
        <v>122</v>
      </c>
    </row>
    <row r="298" spans="1:6" x14ac:dyDescent="0.25">
      <c r="A298">
        <v>1997</v>
      </c>
      <c r="B298" t="s">
        <v>400</v>
      </c>
      <c r="C298" s="20">
        <v>39626</v>
      </c>
      <c r="E298" s="20">
        <v>39933</v>
      </c>
      <c r="F298" s="1" t="s">
        <v>122</v>
      </c>
    </row>
    <row r="299" spans="1:6" x14ac:dyDescent="0.25">
      <c r="A299">
        <v>1998</v>
      </c>
      <c r="B299" t="s">
        <v>401</v>
      </c>
      <c r="C299" s="20">
        <v>39626</v>
      </c>
      <c r="E299" s="20">
        <v>39933</v>
      </c>
      <c r="F299" s="1" t="s">
        <v>122</v>
      </c>
    </row>
    <row r="300" spans="1:6" x14ac:dyDescent="0.25">
      <c r="A300">
        <v>1999</v>
      </c>
      <c r="B300" t="s">
        <v>402</v>
      </c>
      <c r="C300" s="20">
        <v>39626</v>
      </c>
      <c r="E300" s="20">
        <v>39933</v>
      </c>
      <c r="F300" s="1" t="s">
        <v>122</v>
      </c>
    </row>
    <row r="301" spans="1:6" x14ac:dyDescent="0.25">
      <c r="A301">
        <v>2000</v>
      </c>
      <c r="B301" t="s">
        <v>403</v>
      </c>
      <c r="C301" s="20">
        <v>39626</v>
      </c>
      <c r="E301" s="20">
        <v>39933</v>
      </c>
      <c r="F301" s="1" t="s">
        <v>122</v>
      </c>
    </row>
    <row r="302" spans="1:6" x14ac:dyDescent="0.25">
      <c r="A302">
        <v>2001</v>
      </c>
      <c r="B302" t="s">
        <v>404</v>
      </c>
      <c r="C302" s="20">
        <v>39626</v>
      </c>
      <c r="E302" s="20">
        <v>39933</v>
      </c>
      <c r="F302" s="1" t="s">
        <v>122</v>
      </c>
    </row>
    <row r="303" spans="1:6" x14ac:dyDescent="0.25">
      <c r="A303">
        <v>2002</v>
      </c>
      <c r="B303" t="s">
        <v>405</v>
      </c>
      <c r="C303" s="20">
        <v>39626</v>
      </c>
      <c r="E303" s="20">
        <v>39722</v>
      </c>
      <c r="F303" s="1" t="s">
        <v>122</v>
      </c>
    </row>
    <row r="304" spans="1:6" x14ac:dyDescent="0.25">
      <c r="A304">
        <v>2003</v>
      </c>
      <c r="B304" t="s">
        <v>406</v>
      </c>
      <c r="C304" s="20">
        <v>39630</v>
      </c>
      <c r="E304" s="20">
        <v>39660</v>
      </c>
      <c r="F304" s="1" t="s">
        <v>122</v>
      </c>
    </row>
    <row r="305" spans="1:6" x14ac:dyDescent="0.25">
      <c r="A305">
        <v>2004</v>
      </c>
      <c r="B305" t="s">
        <v>407</v>
      </c>
      <c r="C305" s="20">
        <v>39630</v>
      </c>
      <c r="E305" s="20">
        <v>39721</v>
      </c>
      <c r="F305" s="1" t="s">
        <v>122</v>
      </c>
    </row>
    <row r="306" spans="1:6" x14ac:dyDescent="0.25">
      <c r="A306">
        <v>2005</v>
      </c>
      <c r="B306" t="s">
        <v>408</v>
      </c>
      <c r="C306" s="20">
        <v>39631</v>
      </c>
      <c r="E306" s="20">
        <v>39675</v>
      </c>
      <c r="F306" s="1" t="s">
        <v>122</v>
      </c>
    </row>
    <row r="307" spans="1:6" x14ac:dyDescent="0.25">
      <c r="A307">
        <v>2006</v>
      </c>
      <c r="B307" t="s">
        <v>409</v>
      </c>
      <c r="C307" s="20">
        <v>39631</v>
      </c>
      <c r="E307" s="20">
        <v>39675</v>
      </c>
      <c r="F307" s="1" t="s">
        <v>122</v>
      </c>
    </row>
    <row r="308" spans="1:6" x14ac:dyDescent="0.25">
      <c r="A308">
        <v>2007</v>
      </c>
      <c r="B308" t="s">
        <v>410</v>
      </c>
      <c r="C308" s="20">
        <v>39639</v>
      </c>
      <c r="E308" s="20">
        <v>39668</v>
      </c>
      <c r="F308" s="1" t="s">
        <v>122</v>
      </c>
    </row>
    <row r="309" spans="1:6" x14ac:dyDescent="0.25">
      <c r="A309">
        <v>2008</v>
      </c>
      <c r="B309" t="s">
        <v>411</v>
      </c>
      <c r="C309" s="20">
        <v>39646</v>
      </c>
      <c r="E309" s="20">
        <v>39994</v>
      </c>
      <c r="F309" s="1" t="s">
        <v>122</v>
      </c>
    </row>
    <row r="310" spans="1:6" x14ac:dyDescent="0.25">
      <c r="A310">
        <v>2009</v>
      </c>
      <c r="B310" t="s">
        <v>412</v>
      </c>
      <c r="C310" s="20">
        <v>39658</v>
      </c>
      <c r="E310" s="20">
        <v>39689</v>
      </c>
      <c r="F310" s="1" t="s">
        <v>122</v>
      </c>
    </row>
    <row r="311" spans="1:6" x14ac:dyDescent="0.25">
      <c r="A311">
        <v>2010</v>
      </c>
      <c r="B311" t="s">
        <v>413</v>
      </c>
      <c r="C311" s="20">
        <v>39661</v>
      </c>
      <c r="E311" s="20">
        <v>39691</v>
      </c>
      <c r="F311" s="1" t="s">
        <v>122</v>
      </c>
    </row>
    <row r="312" spans="1:6" x14ac:dyDescent="0.25">
      <c r="A312">
        <v>2011</v>
      </c>
      <c r="B312" t="s">
        <v>414</v>
      </c>
      <c r="C312" s="20">
        <v>39678</v>
      </c>
      <c r="E312" s="20">
        <v>39794</v>
      </c>
      <c r="F312" s="1" t="s">
        <v>122</v>
      </c>
    </row>
    <row r="313" spans="1:6" x14ac:dyDescent="0.25">
      <c r="A313">
        <v>2012</v>
      </c>
      <c r="B313" t="s">
        <v>415</v>
      </c>
      <c r="C313" s="20">
        <v>39678</v>
      </c>
      <c r="E313" s="20">
        <v>39813</v>
      </c>
      <c r="F313" s="1" t="s">
        <v>122</v>
      </c>
    </row>
    <row r="314" spans="1:6" x14ac:dyDescent="0.25">
      <c r="A314">
        <v>2013</v>
      </c>
      <c r="B314" t="s">
        <v>416</v>
      </c>
      <c r="C314" s="20">
        <v>39687</v>
      </c>
      <c r="E314" s="20">
        <v>39736</v>
      </c>
      <c r="F314" s="1" t="s">
        <v>122</v>
      </c>
    </row>
    <row r="315" spans="1:6" x14ac:dyDescent="0.25">
      <c r="A315">
        <v>2014</v>
      </c>
      <c r="B315" t="s">
        <v>280</v>
      </c>
      <c r="C315" s="20">
        <v>39693</v>
      </c>
      <c r="E315" s="20">
        <v>39721</v>
      </c>
      <c r="F315" s="1" t="s">
        <v>122</v>
      </c>
    </row>
    <row r="316" spans="1:6" x14ac:dyDescent="0.25">
      <c r="A316">
        <v>2015</v>
      </c>
      <c r="B316" t="s">
        <v>417</v>
      </c>
      <c r="C316" s="20">
        <v>39693</v>
      </c>
      <c r="E316" s="20">
        <v>39813</v>
      </c>
      <c r="F316" s="1" t="s">
        <v>122</v>
      </c>
    </row>
    <row r="317" spans="1:6" x14ac:dyDescent="0.25">
      <c r="A317">
        <v>2016</v>
      </c>
      <c r="B317" t="s">
        <v>418</v>
      </c>
      <c r="C317" s="20">
        <v>39700</v>
      </c>
      <c r="E317" s="20">
        <v>39752</v>
      </c>
      <c r="F317" s="1" t="s">
        <v>122</v>
      </c>
    </row>
    <row r="318" spans="1:6" x14ac:dyDescent="0.25">
      <c r="A318">
        <v>2017</v>
      </c>
      <c r="B318" t="s">
        <v>419</v>
      </c>
      <c r="C318" s="20">
        <v>39700</v>
      </c>
      <c r="E318" s="20">
        <v>39736</v>
      </c>
      <c r="F318" s="1" t="s">
        <v>122</v>
      </c>
    </row>
    <row r="319" spans="1:6" x14ac:dyDescent="0.25">
      <c r="A319">
        <v>2018</v>
      </c>
      <c r="B319" t="s">
        <v>420</v>
      </c>
      <c r="C319" s="20">
        <v>39701</v>
      </c>
      <c r="E319" s="20">
        <v>39708</v>
      </c>
      <c r="F319" s="1" t="s">
        <v>122</v>
      </c>
    </row>
    <row r="320" spans="1:6" x14ac:dyDescent="0.25">
      <c r="A320">
        <v>2019</v>
      </c>
      <c r="B320" t="s">
        <v>421</v>
      </c>
      <c r="C320" s="20">
        <v>39703</v>
      </c>
      <c r="E320" s="20">
        <v>39710</v>
      </c>
      <c r="F320" s="1" t="s">
        <v>122</v>
      </c>
    </row>
    <row r="321" spans="1:6" x14ac:dyDescent="0.25">
      <c r="A321">
        <v>2020</v>
      </c>
      <c r="B321" t="s">
        <v>422</v>
      </c>
      <c r="C321" s="20">
        <v>39703</v>
      </c>
      <c r="E321" s="20">
        <v>39710</v>
      </c>
      <c r="F321" s="1" t="s">
        <v>122</v>
      </c>
    </row>
    <row r="322" spans="1:6" x14ac:dyDescent="0.25">
      <c r="A322">
        <v>2021</v>
      </c>
      <c r="B322" t="s">
        <v>423</v>
      </c>
      <c r="C322" s="20">
        <v>39706</v>
      </c>
      <c r="E322" s="20">
        <v>39721</v>
      </c>
      <c r="F322" s="1" t="s">
        <v>122</v>
      </c>
    </row>
    <row r="323" spans="1:6" x14ac:dyDescent="0.25">
      <c r="A323">
        <v>2022</v>
      </c>
      <c r="B323" t="s">
        <v>424</v>
      </c>
      <c r="C323" s="20">
        <v>39706</v>
      </c>
      <c r="E323" s="20">
        <v>39736</v>
      </c>
      <c r="F323" s="1" t="s">
        <v>122</v>
      </c>
    </row>
    <row r="324" spans="1:6" x14ac:dyDescent="0.25">
      <c r="A324">
        <v>2023</v>
      </c>
      <c r="B324" t="s">
        <v>425</v>
      </c>
      <c r="C324" s="20">
        <v>39706</v>
      </c>
      <c r="E324" s="20">
        <v>39767</v>
      </c>
      <c r="F324" s="1" t="s">
        <v>122</v>
      </c>
    </row>
    <row r="325" spans="1:6" x14ac:dyDescent="0.25">
      <c r="A325">
        <v>2024</v>
      </c>
      <c r="B325" t="s">
        <v>426</v>
      </c>
      <c r="C325" s="20">
        <v>39708</v>
      </c>
      <c r="E325" s="20">
        <v>39782</v>
      </c>
      <c r="F325" s="1" t="s">
        <v>122</v>
      </c>
    </row>
    <row r="326" spans="1:6" x14ac:dyDescent="0.25">
      <c r="A326">
        <v>2025</v>
      </c>
      <c r="B326" t="s">
        <v>298</v>
      </c>
      <c r="C326" s="20">
        <v>39722</v>
      </c>
      <c r="E326" s="20">
        <v>39752</v>
      </c>
      <c r="F326" s="1" t="s">
        <v>122</v>
      </c>
    </row>
    <row r="327" spans="1:6" x14ac:dyDescent="0.25">
      <c r="A327">
        <v>2026</v>
      </c>
      <c r="B327" t="s">
        <v>427</v>
      </c>
      <c r="C327" s="20">
        <v>39721</v>
      </c>
      <c r="E327" s="20">
        <v>39724</v>
      </c>
      <c r="F327" s="1" t="s">
        <v>122</v>
      </c>
    </row>
    <row r="328" spans="1:6" x14ac:dyDescent="0.25">
      <c r="A328">
        <v>2027</v>
      </c>
      <c r="B328" t="s">
        <v>428</v>
      </c>
      <c r="C328" s="20">
        <v>39727</v>
      </c>
      <c r="E328" s="20">
        <v>39751</v>
      </c>
      <c r="F328" s="1" t="s">
        <v>122</v>
      </c>
    </row>
    <row r="329" spans="1:6" x14ac:dyDescent="0.25">
      <c r="A329">
        <v>2028</v>
      </c>
      <c r="B329" t="s">
        <v>429</v>
      </c>
      <c r="C329" s="20">
        <v>39722</v>
      </c>
      <c r="E329" s="20">
        <v>39813</v>
      </c>
      <c r="F329" s="1" t="s">
        <v>122</v>
      </c>
    </row>
    <row r="330" spans="1:6" x14ac:dyDescent="0.25">
      <c r="A330">
        <v>2029</v>
      </c>
      <c r="B330" t="s">
        <v>430</v>
      </c>
      <c r="C330" s="20">
        <v>39741</v>
      </c>
      <c r="E330" s="20">
        <v>39751</v>
      </c>
      <c r="F330" s="1" t="s">
        <v>122</v>
      </c>
    </row>
    <row r="331" spans="1:6" x14ac:dyDescent="0.25">
      <c r="A331">
        <v>2030</v>
      </c>
      <c r="B331" t="s">
        <v>315</v>
      </c>
      <c r="C331" s="20">
        <v>39753</v>
      </c>
      <c r="E331" s="20">
        <v>39782</v>
      </c>
      <c r="F331" s="1" t="s">
        <v>122</v>
      </c>
    </row>
    <row r="332" spans="1:6" x14ac:dyDescent="0.25">
      <c r="A332">
        <v>2031</v>
      </c>
      <c r="B332" t="s">
        <v>431</v>
      </c>
      <c r="C332" s="20">
        <v>39755</v>
      </c>
      <c r="E332" s="20">
        <v>40271</v>
      </c>
      <c r="F332" s="1" t="s">
        <v>122</v>
      </c>
    </row>
    <row r="333" spans="1:6" x14ac:dyDescent="0.25">
      <c r="A333">
        <v>2032</v>
      </c>
      <c r="B333" t="s">
        <v>432</v>
      </c>
      <c r="C333" s="20">
        <v>39758</v>
      </c>
      <c r="E333" s="20">
        <v>39813</v>
      </c>
      <c r="F333" s="1" t="s">
        <v>122</v>
      </c>
    </row>
    <row r="334" spans="1:6" x14ac:dyDescent="0.25">
      <c r="A334">
        <v>2033</v>
      </c>
      <c r="B334" t="s">
        <v>433</v>
      </c>
      <c r="C334" s="20">
        <v>39766</v>
      </c>
      <c r="E334" s="20">
        <v>39963</v>
      </c>
      <c r="F334" s="1" t="s">
        <v>122</v>
      </c>
    </row>
    <row r="335" spans="1:6" x14ac:dyDescent="0.25">
      <c r="A335">
        <v>2034</v>
      </c>
      <c r="B335" t="s">
        <v>434</v>
      </c>
      <c r="C335" s="20">
        <v>39766</v>
      </c>
      <c r="E335" s="20">
        <v>39963</v>
      </c>
      <c r="F335" s="1" t="s">
        <v>122</v>
      </c>
    </row>
    <row r="336" spans="1:6" x14ac:dyDescent="0.25">
      <c r="A336">
        <v>2035</v>
      </c>
      <c r="B336" t="s">
        <v>435</v>
      </c>
      <c r="C336" s="20">
        <v>39776</v>
      </c>
      <c r="E336" s="20">
        <v>39784</v>
      </c>
      <c r="F336" s="1" t="s">
        <v>122</v>
      </c>
    </row>
    <row r="337" spans="1:6" x14ac:dyDescent="0.25">
      <c r="A337">
        <v>2036</v>
      </c>
      <c r="B337" t="s">
        <v>436</v>
      </c>
      <c r="C337" s="20">
        <v>39783</v>
      </c>
      <c r="E337" s="20">
        <v>39813</v>
      </c>
      <c r="F337" s="1" t="s">
        <v>122</v>
      </c>
    </row>
    <row r="338" spans="1:6" x14ac:dyDescent="0.25">
      <c r="A338">
        <v>2037</v>
      </c>
      <c r="B338" t="s">
        <v>437</v>
      </c>
      <c r="C338" s="20">
        <v>39805</v>
      </c>
      <c r="E338" s="20">
        <v>39843</v>
      </c>
      <c r="F338" s="1" t="s">
        <v>122</v>
      </c>
    </row>
    <row r="339" spans="1:6" x14ac:dyDescent="0.25">
      <c r="A339">
        <v>2038</v>
      </c>
      <c r="B339" t="s">
        <v>333</v>
      </c>
      <c r="C339" s="20">
        <v>39814</v>
      </c>
      <c r="E339" s="20">
        <v>39844</v>
      </c>
      <c r="F339" s="1" t="s">
        <v>122</v>
      </c>
    </row>
    <row r="340" spans="1:6" x14ac:dyDescent="0.25">
      <c r="A340">
        <v>2039</v>
      </c>
      <c r="B340" t="s">
        <v>438</v>
      </c>
      <c r="C340" s="20">
        <v>39820</v>
      </c>
      <c r="E340" s="20">
        <v>39933</v>
      </c>
      <c r="F340" s="1" t="s">
        <v>122</v>
      </c>
    </row>
    <row r="341" spans="1:6" x14ac:dyDescent="0.25">
      <c r="A341">
        <v>2040</v>
      </c>
      <c r="B341" t="s">
        <v>439</v>
      </c>
      <c r="C341" s="20">
        <v>39814</v>
      </c>
      <c r="E341" s="20">
        <v>39902</v>
      </c>
      <c r="F341" s="1" t="s">
        <v>122</v>
      </c>
    </row>
    <row r="342" spans="1:6" x14ac:dyDescent="0.25">
      <c r="A342">
        <v>2041</v>
      </c>
      <c r="B342" t="s">
        <v>339</v>
      </c>
      <c r="C342" s="20">
        <v>39845</v>
      </c>
      <c r="E342" s="20">
        <v>39872</v>
      </c>
      <c r="F342" s="1" t="s">
        <v>122</v>
      </c>
    </row>
    <row r="343" spans="1:6" x14ac:dyDescent="0.25">
      <c r="A343">
        <v>2042</v>
      </c>
      <c r="B343" t="s">
        <v>440</v>
      </c>
      <c r="C343" s="20">
        <v>39845</v>
      </c>
      <c r="E343" s="20">
        <v>39934</v>
      </c>
      <c r="F343" s="1" t="s">
        <v>122</v>
      </c>
    </row>
    <row r="344" spans="1:6" x14ac:dyDescent="0.25">
      <c r="A344">
        <v>2043</v>
      </c>
      <c r="B344" t="s">
        <v>441</v>
      </c>
      <c r="C344" s="20">
        <v>39857</v>
      </c>
      <c r="E344" s="20">
        <v>39933</v>
      </c>
      <c r="F344" s="1" t="s">
        <v>122</v>
      </c>
    </row>
    <row r="345" spans="1:6" x14ac:dyDescent="0.25">
      <c r="A345">
        <v>2044</v>
      </c>
      <c r="B345" t="s">
        <v>442</v>
      </c>
      <c r="C345" s="20">
        <v>39862</v>
      </c>
      <c r="E345" s="20">
        <v>39902</v>
      </c>
      <c r="F345" s="1" t="s">
        <v>122</v>
      </c>
    </row>
    <row r="346" spans="1:6" x14ac:dyDescent="0.25">
      <c r="A346">
        <v>2045</v>
      </c>
      <c r="B346" t="s">
        <v>443</v>
      </c>
      <c r="C346" s="20">
        <v>39868</v>
      </c>
      <c r="E346" s="20">
        <v>39887</v>
      </c>
      <c r="F346" s="1" t="s">
        <v>122</v>
      </c>
    </row>
    <row r="347" spans="1:6" x14ac:dyDescent="0.25">
      <c r="A347">
        <v>2046</v>
      </c>
      <c r="B347" t="s">
        <v>444</v>
      </c>
      <c r="C347" s="20">
        <v>39870</v>
      </c>
      <c r="E347" s="20">
        <v>39889</v>
      </c>
      <c r="F347" s="1" t="s">
        <v>122</v>
      </c>
    </row>
    <row r="348" spans="1:6" x14ac:dyDescent="0.25">
      <c r="A348">
        <v>2047</v>
      </c>
      <c r="B348" t="s">
        <v>351</v>
      </c>
      <c r="C348" s="20">
        <v>39873</v>
      </c>
      <c r="E348" s="20">
        <v>39903</v>
      </c>
      <c r="F348" s="1" t="s">
        <v>122</v>
      </c>
    </row>
    <row r="349" spans="1:6" x14ac:dyDescent="0.25">
      <c r="A349">
        <v>2048</v>
      </c>
      <c r="B349" t="s">
        <v>445</v>
      </c>
      <c r="C349" s="20">
        <v>39882</v>
      </c>
      <c r="E349" s="20">
        <v>40086</v>
      </c>
      <c r="F349" s="1" t="s">
        <v>122</v>
      </c>
    </row>
    <row r="350" spans="1:6" x14ac:dyDescent="0.25">
      <c r="A350">
        <v>2049</v>
      </c>
      <c r="B350" t="s">
        <v>446</v>
      </c>
      <c r="C350" s="20">
        <v>39891</v>
      </c>
      <c r="E350" s="20">
        <v>39895</v>
      </c>
      <c r="F350" s="1" t="s">
        <v>122</v>
      </c>
    </row>
    <row r="351" spans="1:6" x14ac:dyDescent="0.25">
      <c r="A351">
        <v>2050</v>
      </c>
      <c r="B351" t="s">
        <v>447</v>
      </c>
      <c r="C351" s="20">
        <v>39891</v>
      </c>
      <c r="E351" s="20">
        <v>39903</v>
      </c>
      <c r="F351" s="1" t="s">
        <v>122</v>
      </c>
    </row>
    <row r="352" spans="1:6" x14ac:dyDescent="0.25">
      <c r="A352">
        <v>2051</v>
      </c>
      <c r="B352" t="s">
        <v>448</v>
      </c>
      <c r="C352" s="20">
        <v>39904</v>
      </c>
      <c r="E352" s="20">
        <v>39933</v>
      </c>
      <c r="F352" s="1" t="s">
        <v>122</v>
      </c>
    </row>
    <row r="353" spans="1:6" x14ac:dyDescent="0.25">
      <c r="A353">
        <v>2052</v>
      </c>
      <c r="B353" t="s">
        <v>449</v>
      </c>
      <c r="C353" s="20">
        <v>39904</v>
      </c>
      <c r="E353" s="20">
        <v>39994</v>
      </c>
      <c r="F353" s="1" t="s">
        <v>122</v>
      </c>
    </row>
    <row r="354" spans="1:6" x14ac:dyDescent="0.25">
      <c r="A354">
        <v>2053</v>
      </c>
      <c r="B354" t="s">
        <v>450</v>
      </c>
      <c r="C354" s="20">
        <v>39911</v>
      </c>
      <c r="E354" s="20">
        <v>39964</v>
      </c>
      <c r="F354" s="1" t="s">
        <v>122</v>
      </c>
    </row>
    <row r="355" spans="1:6" x14ac:dyDescent="0.25">
      <c r="A355">
        <v>2054</v>
      </c>
      <c r="B355" t="s">
        <v>451</v>
      </c>
      <c r="C355" s="20">
        <v>39920</v>
      </c>
      <c r="E355" s="20">
        <v>40055</v>
      </c>
      <c r="F355" s="1" t="s">
        <v>122</v>
      </c>
    </row>
    <row r="356" spans="1:6" x14ac:dyDescent="0.25">
      <c r="A356">
        <v>2055</v>
      </c>
      <c r="B356" t="s">
        <v>452</v>
      </c>
      <c r="C356" s="20">
        <v>39934</v>
      </c>
      <c r="E356" s="20">
        <v>39964</v>
      </c>
      <c r="F356" s="1" t="s">
        <v>122</v>
      </c>
    </row>
    <row r="357" spans="1:6" x14ac:dyDescent="0.25">
      <c r="A357">
        <v>2056</v>
      </c>
      <c r="B357" t="s">
        <v>453</v>
      </c>
      <c r="C357" s="20">
        <v>39937</v>
      </c>
      <c r="E357" s="20">
        <v>39994</v>
      </c>
      <c r="F357" s="1" t="s">
        <v>122</v>
      </c>
    </row>
    <row r="358" spans="1:6" x14ac:dyDescent="0.25">
      <c r="A358">
        <v>2057</v>
      </c>
      <c r="B358" t="s">
        <v>454</v>
      </c>
      <c r="C358" s="20">
        <v>39946</v>
      </c>
      <c r="E358" s="20">
        <v>39955</v>
      </c>
      <c r="F358" s="1" t="s">
        <v>122</v>
      </c>
    </row>
    <row r="359" spans="1:6" x14ac:dyDescent="0.25">
      <c r="A359">
        <v>2058</v>
      </c>
      <c r="B359" t="s">
        <v>455</v>
      </c>
      <c r="C359" s="20">
        <v>39948</v>
      </c>
      <c r="E359" s="20">
        <v>40114</v>
      </c>
      <c r="F359" s="1" t="s">
        <v>122</v>
      </c>
    </row>
    <row r="360" spans="1:6" x14ac:dyDescent="0.25">
      <c r="A360">
        <v>2059</v>
      </c>
      <c r="B360" t="s">
        <v>456</v>
      </c>
      <c r="C360" s="20">
        <v>39948</v>
      </c>
      <c r="E360" s="20">
        <v>39994</v>
      </c>
      <c r="F360" s="1" t="s">
        <v>122</v>
      </c>
    </row>
    <row r="361" spans="1:6" x14ac:dyDescent="0.25">
      <c r="A361">
        <v>2060</v>
      </c>
      <c r="B361" t="s">
        <v>457</v>
      </c>
      <c r="C361" s="20">
        <v>39948</v>
      </c>
      <c r="E361" s="20">
        <v>40298</v>
      </c>
      <c r="F361" s="1" t="s">
        <v>122</v>
      </c>
    </row>
    <row r="362" spans="1:6" x14ac:dyDescent="0.25">
      <c r="A362">
        <v>2061</v>
      </c>
      <c r="B362" t="s">
        <v>371</v>
      </c>
      <c r="C362" s="20">
        <v>39965</v>
      </c>
      <c r="E362" s="20">
        <v>39994</v>
      </c>
      <c r="F362" s="1" t="s">
        <v>122</v>
      </c>
    </row>
    <row r="363" spans="1:6" x14ac:dyDescent="0.25">
      <c r="A363">
        <v>2062</v>
      </c>
      <c r="B363" t="s">
        <v>458</v>
      </c>
      <c r="C363" s="20">
        <v>39934</v>
      </c>
      <c r="E363" s="20">
        <v>40298</v>
      </c>
      <c r="F363" s="1" t="s">
        <v>122</v>
      </c>
    </row>
    <row r="364" spans="1:6" x14ac:dyDescent="0.25">
      <c r="A364">
        <v>2063</v>
      </c>
      <c r="B364" t="s">
        <v>459</v>
      </c>
      <c r="C364" s="20">
        <v>39934</v>
      </c>
      <c r="E364" s="20">
        <v>40298</v>
      </c>
      <c r="F364" s="1" t="s">
        <v>122</v>
      </c>
    </row>
    <row r="365" spans="1:6" x14ac:dyDescent="0.25">
      <c r="A365">
        <v>2064</v>
      </c>
      <c r="B365" t="s">
        <v>460</v>
      </c>
      <c r="C365" s="20">
        <v>39934</v>
      </c>
      <c r="E365" s="20">
        <v>40298</v>
      </c>
      <c r="F365" s="1" t="s">
        <v>122</v>
      </c>
    </row>
    <row r="366" spans="1:6" x14ac:dyDescent="0.25">
      <c r="A366">
        <v>2065</v>
      </c>
      <c r="B366" t="s">
        <v>461</v>
      </c>
      <c r="C366" s="20">
        <v>39967</v>
      </c>
      <c r="E366" s="20">
        <v>39995</v>
      </c>
      <c r="F366" s="1" t="s">
        <v>122</v>
      </c>
    </row>
    <row r="367" spans="1:6" x14ac:dyDescent="0.25">
      <c r="A367">
        <v>2066</v>
      </c>
      <c r="B367" t="s">
        <v>462</v>
      </c>
      <c r="C367" s="20">
        <v>39967</v>
      </c>
      <c r="E367" s="20">
        <v>40056</v>
      </c>
      <c r="F367" s="1" t="s">
        <v>122</v>
      </c>
    </row>
    <row r="368" spans="1:6" x14ac:dyDescent="0.25">
      <c r="A368">
        <v>2067</v>
      </c>
      <c r="B368" t="s">
        <v>463</v>
      </c>
      <c r="C368" s="20">
        <v>39934</v>
      </c>
      <c r="E368" s="20">
        <v>40298</v>
      </c>
      <c r="F368" s="1" t="s">
        <v>122</v>
      </c>
    </row>
    <row r="369" spans="1:6" x14ac:dyDescent="0.25">
      <c r="A369">
        <v>2068</v>
      </c>
      <c r="B369" t="s">
        <v>464</v>
      </c>
      <c r="C369" s="20">
        <v>39934</v>
      </c>
      <c r="E369" s="20">
        <v>40298</v>
      </c>
      <c r="F369" s="1" t="s">
        <v>122</v>
      </c>
    </row>
    <row r="370" spans="1:6" x14ac:dyDescent="0.25">
      <c r="A370">
        <v>2069</v>
      </c>
      <c r="B370" t="s">
        <v>465</v>
      </c>
      <c r="C370" s="20">
        <v>39948</v>
      </c>
      <c r="E370" s="20">
        <v>39994</v>
      </c>
      <c r="F370" s="1" t="s">
        <v>122</v>
      </c>
    </row>
    <row r="371" spans="1:6" x14ac:dyDescent="0.25">
      <c r="A371">
        <v>2070</v>
      </c>
      <c r="B371" t="s">
        <v>466</v>
      </c>
      <c r="C371" s="20">
        <v>39934</v>
      </c>
      <c r="E371" s="20">
        <v>40298</v>
      </c>
      <c r="F371" s="1" t="s">
        <v>122</v>
      </c>
    </row>
    <row r="372" spans="1:6" x14ac:dyDescent="0.25">
      <c r="A372">
        <v>2071</v>
      </c>
      <c r="B372" t="s">
        <v>467</v>
      </c>
      <c r="C372" s="20">
        <v>39934</v>
      </c>
      <c r="E372" s="20">
        <v>40298</v>
      </c>
      <c r="F372" s="1" t="s">
        <v>122</v>
      </c>
    </row>
    <row r="373" spans="1:6" x14ac:dyDescent="0.25">
      <c r="A373">
        <v>2072</v>
      </c>
      <c r="B373" t="s">
        <v>468</v>
      </c>
      <c r="C373" s="20">
        <v>39934</v>
      </c>
      <c r="E373" s="20">
        <v>40298</v>
      </c>
      <c r="F373" s="1" t="s">
        <v>122</v>
      </c>
    </row>
    <row r="374" spans="1:6" x14ac:dyDescent="0.25">
      <c r="A374">
        <v>2073</v>
      </c>
      <c r="B374" t="s">
        <v>469</v>
      </c>
      <c r="C374" s="20">
        <v>39934</v>
      </c>
      <c r="E374" s="20">
        <v>40298</v>
      </c>
      <c r="F374" s="1" t="s">
        <v>122</v>
      </c>
    </row>
    <row r="375" spans="1:6" x14ac:dyDescent="0.25">
      <c r="A375">
        <v>2074</v>
      </c>
      <c r="B375" t="s">
        <v>470</v>
      </c>
      <c r="C375" s="20">
        <v>39995</v>
      </c>
      <c r="E375" s="20">
        <v>40025</v>
      </c>
      <c r="F375" s="1" t="s">
        <v>122</v>
      </c>
    </row>
    <row r="376" spans="1:6" x14ac:dyDescent="0.25">
      <c r="A376">
        <v>2075</v>
      </c>
      <c r="B376" t="s">
        <v>471</v>
      </c>
      <c r="C376" s="20">
        <v>39996</v>
      </c>
      <c r="E376" s="20">
        <v>40086</v>
      </c>
      <c r="F376" s="1" t="s">
        <v>122</v>
      </c>
    </row>
    <row r="377" spans="1:6" x14ac:dyDescent="0.25">
      <c r="A377">
        <v>2076</v>
      </c>
      <c r="B377" t="s">
        <v>472</v>
      </c>
      <c r="C377" s="20">
        <v>39995</v>
      </c>
      <c r="E377" s="20">
        <v>40117</v>
      </c>
      <c r="F377" s="1" t="s">
        <v>122</v>
      </c>
    </row>
    <row r="378" spans="1:6" x14ac:dyDescent="0.25">
      <c r="A378">
        <v>2077</v>
      </c>
      <c r="B378" t="s">
        <v>473</v>
      </c>
      <c r="C378" s="20">
        <v>39995</v>
      </c>
      <c r="E378" s="20">
        <v>40040</v>
      </c>
      <c r="F378" s="1" t="s">
        <v>122</v>
      </c>
    </row>
    <row r="379" spans="1:6" x14ac:dyDescent="0.25">
      <c r="A379">
        <v>2078</v>
      </c>
      <c r="B379" t="s">
        <v>474</v>
      </c>
      <c r="C379" s="20">
        <v>39995</v>
      </c>
      <c r="E379" s="20">
        <v>40178</v>
      </c>
      <c r="F379" s="1" t="s">
        <v>122</v>
      </c>
    </row>
    <row r="380" spans="1:6" x14ac:dyDescent="0.25">
      <c r="A380">
        <v>2079</v>
      </c>
      <c r="B380" t="s">
        <v>475</v>
      </c>
      <c r="C380" s="20">
        <v>40001</v>
      </c>
      <c r="E380" s="20">
        <v>40003</v>
      </c>
      <c r="F380" s="1" t="s">
        <v>122</v>
      </c>
    </row>
    <row r="381" spans="1:6" x14ac:dyDescent="0.25">
      <c r="A381">
        <v>2080</v>
      </c>
      <c r="B381" t="s">
        <v>476</v>
      </c>
      <c r="C381" s="20">
        <v>40002</v>
      </c>
      <c r="E381" s="20">
        <v>40359</v>
      </c>
      <c r="F381" s="1" t="s">
        <v>122</v>
      </c>
    </row>
    <row r="382" spans="1:6" x14ac:dyDescent="0.25">
      <c r="A382">
        <v>2081</v>
      </c>
      <c r="B382" t="s">
        <v>477</v>
      </c>
      <c r="C382" s="20">
        <v>40002</v>
      </c>
      <c r="E382" s="20">
        <v>40026</v>
      </c>
      <c r="F382" s="1" t="s">
        <v>122</v>
      </c>
    </row>
    <row r="383" spans="1:6" x14ac:dyDescent="0.25">
      <c r="A383">
        <v>2082</v>
      </c>
      <c r="B383" t="s">
        <v>478</v>
      </c>
      <c r="C383" s="20">
        <v>39934</v>
      </c>
      <c r="E383" s="20">
        <v>40298</v>
      </c>
      <c r="F383" s="1" t="s">
        <v>122</v>
      </c>
    </row>
    <row r="384" spans="1:6" x14ac:dyDescent="0.25">
      <c r="A384">
        <v>2083</v>
      </c>
      <c r="B384" t="s">
        <v>479</v>
      </c>
      <c r="C384" s="20">
        <v>39934</v>
      </c>
      <c r="E384" s="20">
        <v>40298</v>
      </c>
      <c r="F384" s="1" t="s">
        <v>122</v>
      </c>
    </row>
    <row r="385" spans="1:6" x14ac:dyDescent="0.25">
      <c r="A385">
        <v>2084</v>
      </c>
      <c r="B385" t="s">
        <v>480</v>
      </c>
      <c r="C385" s="20">
        <v>39934</v>
      </c>
      <c r="E385" s="20">
        <v>40298</v>
      </c>
      <c r="F385" s="1" t="s">
        <v>122</v>
      </c>
    </row>
    <row r="386" spans="1:6" x14ac:dyDescent="0.25">
      <c r="A386">
        <v>2085</v>
      </c>
      <c r="B386" t="s">
        <v>481</v>
      </c>
      <c r="C386" s="20">
        <v>39934</v>
      </c>
      <c r="E386" s="20">
        <v>40298</v>
      </c>
      <c r="F386" s="1" t="s">
        <v>122</v>
      </c>
    </row>
    <row r="387" spans="1:6" x14ac:dyDescent="0.25">
      <c r="A387">
        <v>2086</v>
      </c>
      <c r="B387" t="s">
        <v>482</v>
      </c>
      <c r="C387" s="20">
        <v>39934</v>
      </c>
      <c r="E387" s="20">
        <v>40298</v>
      </c>
      <c r="F387" s="1" t="s">
        <v>122</v>
      </c>
    </row>
    <row r="388" spans="1:6" x14ac:dyDescent="0.25">
      <c r="A388">
        <v>2087</v>
      </c>
      <c r="B388" t="s">
        <v>483</v>
      </c>
      <c r="C388" s="20">
        <v>39934</v>
      </c>
      <c r="E388" s="20">
        <v>40298</v>
      </c>
      <c r="F388" s="1" t="s">
        <v>122</v>
      </c>
    </row>
    <row r="389" spans="1:6" x14ac:dyDescent="0.25">
      <c r="A389">
        <v>2088</v>
      </c>
      <c r="B389" t="s">
        <v>484</v>
      </c>
      <c r="C389" s="20">
        <v>39934</v>
      </c>
      <c r="E389" s="20">
        <v>40298</v>
      </c>
      <c r="F389" s="1" t="s">
        <v>122</v>
      </c>
    </row>
    <row r="390" spans="1:6" x14ac:dyDescent="0.25">
      <c r="A390">
        <v>2089</v>
      </c>
      <c r="B390" t="s">
        <v>485</v>
      </c>
      <c r="C390" s="20">
        <v>39934</v>
      </c>
      <c r="E390" s="20">
        <v>40298</v>
      </c>
      <c r="F390" s="1" t="s">
        <v>122</v>
      </c>
    </row>
    <row r="391" spans="1:6" x14ac:dyDescent="0.25">
      <c r="A391">
        <v>2090</v>
      </c>
      <c r="B391" t="s">
        <v>486</v>
      </c>
      <c r="C391" s="20">
        <v>39934</v>
      </c>
      <c r="E391" s="20">
        <v>40298</v>
      </c>
      <c r="F391" s="1" t="s">
        <v>122</v>
      </c>
    </row>
    <row r="392" spans="1:6" x14ac:dyDescent="0.25">
      <c r="A392">
        <v>2091</v>
      </c>
      <c r="B392" t="s">
        <v>487</v>
      </c>
      <c r="C392" s="20">
        <v>39934</v>
      </c>
      <c r="E392" s="20">
        <v>40298</v>
      </c>
      <c r="F392" s="1" t="s">
        <v>122</v>
      </c>
    </row>
    <row r="393" spans="1:6" x14ac:dyDescent="0.25">
      <c r="A393">
        <v>2092</v>
      </c>
      <c r="B393" t="s">
        <v>488</v>
      </c>
      <c r="C393" s="20">
        <v>40023</v>
      </c>
      <c r="E393" s="20">
        <v>40056</v>
      </c>
      <c r="F393" s="1" t="s">
        <v>122</v>
      </c>
    </row>
    <row r="394" spans="1:6" x14ac:dyDescent="0.25">
      <c r="A394">
        <v>2093</v>
      </c>
      <c r="B394" t="s">
        <v>489</v>
      </c>
      <c r="C394" s="20">
        <v>40023</v>
      </c>
      <c r="E394" s="20">
        <v>40071</v>
      </c>
      <c r="F394" s="1" t="s">
        <v>122</v>
      </c>
    </row>
    <row r="395" spans="1:6" x14ac:dyDescent="0.25">
      <c r="A395">
        <v>2094</v>
      </c>
      <c r="B395" t="s">
        <v>490</v>
      </c>
      <c r="C395" s="20">
        <v>40024</v>
      </c>
      <c r="E395" s="20">
        <v>40032</v>
      </c>
      <c r="F395" s="1" t="s">
        <v>122</v>
      </c>
    </row>
    <row r="396" spans="1:6" x14ac:dyDescent="0.25">
      <c r="A396">
        <v>2095</v>
      </c>
      <c r="B396" t="s">
        <v>491</v>
      </c>
      <c r="C396" s="20">
        <v>40024</v>
      </c>
      <c r="E396" s="20">
        <v>40056</v>
      </c>
      <c r="F396" s="1" t="s">
        <v>122</v>
      </c>
    </row>
    <row r="397" spans="1:6" x14ac:dyDescent="0.25">
      <c r="A397">
        <v>2096</v>
      </c>
      <c r="B397" t="s">
        <v>492</v>
      </c>
      <c r="C397" s="20">
        <v>40026</v>
      </c>
      <c r="E397" s="20">
        <v>40056</v>
      </c>
      <c r="F397" s="1" t="s">
        <v>122</v>
      </c>
    </row>
    <row r="398" spans="1:6" x14ac:dyDescent="0.25">
      <c r="A398">
        <v>2097</v>
      </c>
      <c r="B398" t="s">
        <v>493</v>
      </c>
      <c r="C398" s="20">
        <v>40022</v>
      </c>
      <c r="E398" s="20">
        <v>40298</v>
      </c>
      <c r="F398" s="1" t="s">
        <v>122</v>
      </c>
    </row>
    <row r="399" spans="1:6" x14ac:dyDescent="0.25">
      <c r="A399">
        <v>2098</v>
      </c>
      <c r="B399" t="s">
        <v>494</v>
      </c>
      <c r="C399" s="20">
        <v>40039</v>
      </c>
      <c r="E399" s="20">
        <v>40086</v>
      </c>
      <c r="F399" s="1" t="s">
        <v>122</v>
      </c>
    </row>
    <row r="400" spans="1:6" x14ac:dyDescent="0.25">
      <c r="A400">
        <v>2099</v>
      </c>
      <c r="B400" t="s">
        <v>495</v>
      </c>
      <c r="C400" s="20">
        <v>40039</v>
      </c>
      <c r="E400" s="20">
        <v>40063</v>
      </c>
      <c r="F400" s="1" t="s">
        <v>122</v>
      </c>
    </row>
    <row r="401" spans="1:6" x14ac:dyDescent="0.25">
      <c r="A401">
        <v>2100</v>
      </c>
      <c r="B401" t="s">
        <v>496</v>
      </c>
      <c r="C401" s="20">
        <v>40056</v>
      </c>
      <c r="E401" s="20">
        <v>40359</v>
      </c>
      <c r="F401" s="1" t="s">
        <v>122</v>
      </c>
    </row>
    <row r="402" spans="1:6" x14ac:dyDescent="0.25">
      <c r="A402">
        <v>2101</v>
      </c>
      <c r="B402" t="s">
        <v>497</v>
      </c>
      <c r="C402" s="20">
        <v>40056</v>
      </c>
      <c r="E402" s="20">
        <v>40086</v>
      </c>
      <c r="F402" s="1" t="s">
        <v>122</v>
      </c>
    </row>
    <row r="403" spans="1:6" x14ac:dyDescent="0.25">
      <c r="A403">
        <v>2102</v>
      </c>
      <c r="B403" t="s">
        <v>498</v>
      </c>
      <c r="C403" s="20">
        <v>40057</v>
      </c>
      <c r="E403" s="20">
        <v>41128</v>
      </c>
      <c r="F403" s="1" t="s">
        <v>122</v>
      </c>
    </row>
    <row r="404" spans="1:6" x14ac:dyDescent="0.25">
      <c r="A404">
        <v>2103</v>
      </c>
      <c r="B404" t="s">
        <v>499</v>
      </c>
      <c r="C404" s="20">
        <v>40057</v>
      </c>
      <c r="E404" s="20">
        <v>40086</v>
      </c>
      <c r="F404" s="1" t="s">
        <v>122</v>
      </c>
    </row>
    <row r="405" spans="1:6" x14ac:dyDescent="0.25">
      <c r="A405">
        <v>2104</v>
      </c>
      <c r="B405" t="s">
        <v>500</v>
      </c>
      <c r="C405" s="20">
        <v>40057</v>
      </c>
      <c r="E405" s="20">
        <v>40305</v>
      </c>
      <c r="F405" s="1" t="s">
        <v>122</v>
      </c>
    </row>
    <row r="406" spans="1:6" x14ac:dyDescent="0.25">
      <c r="A406">
        <v>2105</v>
      </c>
      <c r="B406" t="s">
        <v>501</v>
      </c>
      <c r="C406" s="20">
        <v>40071</v>
      </c>
      <c r="E406" s="20">
        <v>40305</v>
      </c>
      <c r="F406" s="1" t="s">
        <v>122</v>
      </c>
    </row>
    <row r="407" spans="1:6" x14ac:dyDescent="0.25">
      <c r="A407">
        <v>2106</v>
      </c>
      <c r="B407" t="s">
        <v>502</v>
      </c>
      <c r="C407" s="20">
        <v>40071</v>
      </c>
      <c r="E407" s="20">
        <v>40305</v>
      </c>
      <c r="F407" s="1" t="s">
        <v>122</v>
      </c>
    </row>
    <row r="408" spans="1:6" x14ac:dyDescent="0.25">
      <c r="A408">
        <v>2107</v>
      </c>
      <c r="B408" t="s">
        <v>503</v>
      </c>
      <c r="C408" s="20">
        <v>40071</v>
      </c>
      <c r="E408" s="20">
        <v>40305</v>
      </c>
      <c r="F408" s="1" t="s">
        <v>122</v>
      </c>
    </row>
    <row r="409" spans="1:6" x14ac:dyDescent="0.25">
      <c r="A409">
        <v>2108</v>
      </c>
      <c r="B409" t="s">
        <v>504</v>
      </c>
      <c r="C409" s="20">
        <v>40071</v>
      </c>
      <c r="E409" s="20">
        <v>40114</v>
      </c>
      <c r="F409" s="1" t="s">
        <v>122</v>
      </c>
    </row>
    <row r="410" spans="1:6" x14ac:dyDescent="0.25">
      <c r="A410">
        <v>2109</v>
      </c>
      <c r="B410" t="s">
        <v>505</v>
      </c>
      <c r="C410" s="20">
        <v>40072</v>
      </c>
      <c r="E410" s="20">
        <v>40087</v>
      </c>
      <c r="F410" s="1" t="s">
        <v>122</v>
      </c>
    </row>
    <row r="411" spans="1:6" x14ac:dyDescent="0.25">
      <c r="A411">
        <v>2110</v>
      </c>
      <c r="B411" t="s">
        <v>506</v>
      </c>
      <c r="C411" s="20">
        <v>40080</v>
      </c>
      <c r="E411" s="20">
        <v>40086</v>
      </c>
      <c r="F411" s="1" t="s">
        <v>122</v>
      </c>
    </row>
    <row r="412" spans="1:6" x14ac:dyDescent="0.25">
      <c r="A412">
        <v>2111</v>
      </c>
      <c r="B412" t="s">
        <v>298</v>
      </c>
      <c r="C412" s="20">
        <v>40087</v>
      </c>
      <c r="E412" s="20">
        <v>40117</v>
      </c>
      <c r="F412" s="1" t="s">
        <v>122</v>
      </c>
    </row>
    <row r="413" spans="1:6" x14ac:dyDescent="0.25">
      <c r="A413">
        <v>2112</v>
      </c>
      <c r="B413" t="s">
        <v>507</v>
      </c>
      <c r="C413" s="20">
        <v>40087</v>
      </c>
      <c r="E413" s="20">
        <v>40178</v>
      </c>
      <c r="F413" s="1" t="s">
        <v>122</v>
      </c>
    </row>
    <row r="414" spans="1:6" x14ac:dyDescent="0.25">
      <c r="A414">
        <v>2113</v>
      </c>
      <c r="B414" t="s">
        <v>508</v>
      </c>
      <c r="C414" s="20">
        <v>40087</v>
      </c>
      <c r="E414" s="20">
        <v>40088</v>
      </c>
      <c r="F414" s="1" t="s">
        <v>122</v>
      </c>
    </row>
    <row r="415" spans="1:6" x14ac:dyDescent="0.25">
      <c r="A415">
        <v>2114</v>
      </c>
      <c r="B415" t="s">
        <v>509</v>
      </c>
      <c r="C415" s="20">
        <v>40087</v>
      </c>
      <c r="E415" s="20">
        <v>40116</v>
      </c>
      <c r="F415" s="1" t="s">
        <v>122</v>
      </c>
    </row>
    <row r="416" spans="1:6" x14ac:dyDescent="0.25">
      <c r="A416">
        <v>2115</v>
      </c>
      <c r="B416" t="s">
        <v>510</v>
      </c>
      <c r="C416" s="20">
        <v>40093</v>
      </c>
      <c r="E416" s="20">
        <v>40154</v>
      </c>
      <c r="F416" s="1" t="s">
        <v>122</v>
      </c>
    </row>
    <row r="417" spans="1:6" x14ac:dyDescent="0.25">
      <c r="A417">
        <v>2116</v>
      </c>
      <c r="B417" t="s">
        <v>315</v>
      </c>
      <c r="C417" s="20">
        <v>40118</v>
      </c>
      <c r="E417" s="20">
        <v>40147</v>
      </c>
      <c r="F417" s="1" t="s">
        <v>122</v>
      </c>
    </row>
    <row r="418" spans="1:6" x14ac:dyDescent="0.25">
      <c r="A418">
        <v>2117</v>
      </c>
      <c r="B418" t="s">
        <v>511</v>
      </c>
      <c r="C418" s="20">
        <v>40120</v>
      </c>
      <c r="E418" s="20">
        <v>40178</v>
      </c>
      <c r="F418" s="1" t="s">
        <v>122</v>
      </c>
    </row>
    <row r="419" spans="1:6" x14ac:dyDescent="0.25">
      <c r="A419">
        <v>2118</v>
      </c>
      <c r="B419" t="s">
        <v>512</v>
      </c>
      <c r="C419" s="20">
        <v>40122</v>
      </c>
      <c r="E419" s="20">
        <v>39933</v>
      </c>
      <c r="F419" s="1" t="s">
        <v>122</v>
      </c>
    </row>
    <row r="420" spans="1:6" x14ac:dyDescent="0.25">
      <c r="A420">
        <v>2119</v>
      </c>
      <c r="B420" t="s">
        <v>513</v>
      </c>
      <c r="C420" s="20">
        <v>40122</v>
      </c>
      <c r="E420" s="20">
        <v>40421</v>
      </c>
      <c r="F420" s="1" t="s">
        <v>122</v>
      </c>
    </row>
    <row r="421" spans="1:6" x14ac:dyDescent="0.25">
      <c r="A421">
        <v>2120</v>
      </c>
      <c r="B421" t="s">
        <v>514</v>
      </c>
      <c r="C421" s="20">
        <v>40122</v>
      </c>
      <c r="E421" s="20">
        <v>40210</v>
      </c>
      <c r="F421" s="1" t="s">
        <v>122</v>
      </c>
    </row>
    <row r="422" spans="1:6" x14ac:dyDescent="0.25">
      <c r="A422">
        <v>2121</v>
      </c>
      <c r="B422" t="s">
        <v>515</v>
      </c>
      <c r="C422" s="20">
        <v>40127</v>
      </c>
      <c r="E422" s="20">
        <v>40178</v>
      </c>
      <c r="F422" s="1" t="s">
        <v>122</v>
      </c>
    </row>
    <row r="423" spans="1:6" x14ac:dyDescent="0.25">
      <c r="A423">
        <v>2122</v>
      </c>
      <c r="B423" t="s">
        <v>516</v>
      </c>
      <c r="C423" s="20">
        <v>40130</v>
      </c>
      <c r="E423" s="20">
        <v>40298</v>
      </c>
      <c r="F423" s="1" t="s">
        <v>122</v>
      </c>
    </row>
    <row r="424" spans="1:6" x14ac:dyDescent="0.25">
      <c r="A424">
        <v>2123</v>
      </c>
      <c r="B424" t="s">
        <v>517</v>
      </c>
      <c r="C424" s="20">
        <v>40130</v>
      </c>
      <c r="E424" s="20">
        <v>40147</v>
      </c>
      <c r="F424" s="1" t="s">
        <v>122</v>
      </c>
    </row>
    <row r="425" spans="1:6" x14ac:dyDescent="0.25">
      <c r="A425">
        <v>2124</v>
      </c>
      <c r="B425" t="s">
        <v>518</v>
      </c>
      <c r="C425" s="20">
        <v>40135</v>
      </c>
      <c r="E425" s="20">
        <v>39859</v>
      </c>
      <c r="F425" s="1" t="s">
        <v>122</v>
      </c>
    </row>
    <row r="426" spans="1:6" x14ac:dyDescent="0.25">
      <c r="A426">
        <v>2125</v>
      </c>
      <c r="B426" t="s">
        <v>519</v>
      </c>
      <c r="C426" s="20">
        <v>40130</v>
      </c>
      <c r="E426" s="20">
        <v>40117</v>
      </c>
      <c r="F426" s="1" t="s">
        <v>122</v>
      </c>
    </row>
    <row r="427" spans="1:6" x14ac:dyDescent="0.25">
      <c r="A427">
        <v>2126</v>
      </c>
      <c r="B427" t="s">
        <v>520</v>
      </c>
      <c r="C427" s="20">
        <v>40141</v>
      </c>
      <c r="E427" s="20">
        <v>40193</v>
      </c>
      <c r="F427" s="1" t="s">
        <v>122</v>
      </c>
    </row>
    <row r="428" spans="1:6" x14ac:dyDescent="0.25">
      <c r="A428">
        <v>2127</v>
      </c>
      <c r="B428" t="s">
        <v>332</v>
      </c>
      <c r="C428" s="20">
        <v>40148</v>
      </c>
      <c r="E428" s="20">
        <v>40178</v>
      </c>
      <c r="F428" s="1" t="s">
        <v>122</v>
      </c>
    </row>
    <row r="429" spans="1:6" x14ac:dyDescent="0.25">
      <c r="A429">
        <v>2128</v>
      </c>
      <c r="B429" t="s">
        <v>521</v>
      </c>
      <c r="C429" s="20">
        <v>40162</v>
      </c>
      <c r="E429" s="20">
        <v>40299</v>
      </c>
      <c r="F429" s="1" t="s">
        <v>122</v>
      </c>
    </row>
    <row r="430" spans="1:6" x14ac:dyDescent="0.25">
      <c r="A430">
        <v>2129</v>
      </c>
      <c r="B430" t="s">
        <v>522</v>
      </c>
      <c r="C430" s="20">
        <v>40179</v>
      </c>
      <c r="E430" s="20">
        <v>40209</v>
      </c>
      <c r="F430" s="1" t="s">
        <v>122</v>
      </c>
    </row>
    <row r="431" spans="1:6" x14ac:dyDescent="0.25">
      <c r="A431">
        <v>2130</v>
      </c>
      <c r="B431" t="s">
        <v>523</v>
      </c>
      <c r="C431" s="20">
        <v>40179</v>
      </c>
      <c r="E431" s="20">
        <v>40268</v>
      </c>
      <c r="F431" s="1" t="s">
        <v>122</v>
      </c>
    </row>
    <row r="432" spans="1:6" x14ac:dyDescent="0.25">
      <c r="A432">
        <v>2131</v>
      </c>
      <c r="B432" t="s">
        <v>524</v>
      </c>
      <c r="C432" s="20">
        <v>40163</v>
      </c>
      <c r="E432" s="20">
        <v>40543</v>
      </c>
      <c r="F432" s="1" t="s">
        <v>122</v>
      </c>
    </row>
    <row r="433" spans="1:6" x14ac:dyDescent="0.25">
      <c r="A433">
        <v>2132</v>
      </c>
      <c r="B433" t="s">
        <v>525</v>
      </c>
      <c r="C433" s="20">
        <v>40165</v>
      </c>
      <c r="E433" s="20">
        <v>40178</v>
      </c>
      <c r="F433" s="1" t="s">
        <v>122</v>
      </c>
    </row>
    <row r="434" spans="1:6" x14ac:dyDescent="0.25">
      <c r="A434">
        <v>2133</v>
      </c>
      <c r="B434" t="s">
        <v>526</v>
      </c>
      <c r="C434" s="20">
        <v>40210</v>
      </c>
      <c r="E434" s="20">
        <v>40237</v>
      </c>
      <c r="F434" s="1" t="s">
        <v>122</v>
      </c>
    </row>
    <row r="435" spans="1:6" x14ac:dyDescent="0.25">
      <c r="A435">
        <v>2134</v>
      </c>
      <c r="B435" t="s">
        <v>527</v>
      </c>
      <c r="C435" s="20">
        <v>40227</v>
      </c>
      <c r="E435" s="20">
        <v>40316</v>
      </c>
      <c r="F435" s="1" t="s">
        <v>122</v>
      </c>
    </row>
    <row r="436" spans="1:6" x14ac:dyDescent="0.25">
      <c r="A436">
        <v>2135</v>
      </c>
      <c r="B436" t="s">
        <v>528</v>
      </c>
      <c r="C436" s="20">
        <v>40238</v>
      </c>
      <c r="E436" s="20">
        <v>40268</v>
      </c>
      <c r="F436" s="1" t="s">
        <v>122</v>
      </c>
    </row>
    <row r="437" spans="1:6" x14ac:dyDescent="0.25">
      <c r="A437">
        <v>2136</v>
      </c>
      <c r="B437" t="s">
        <v>529</v>
      </c>
      <c r="C437" s="20">
        <v>40259</v>
      </c>
      <c r="E437" s="20">
        <v>40330</v>
      </c>
      <c r="F437" s="1" t="s">
        <v>122</v>
      </c>
    </row>
    <row r="438" spans="1:6" x14ac:dyDescent="0.25">
      <c r="A438">
        <v>2137</v>
      </c>
      <c r="B438" t="s">
        <v>530</v>
      </c>
      <c r="C438" s="20">
        <v>40268</v>
      </c>
      <c r="E438" s="20">
        <v>40298</v>
      </c>
      <c r="F438" s="1" t="s">
        <v>122</v>
      </c>
    </row>
    <row r="439" spans="1:6" x14ac:dyDescent="0.25">
      <c r="A439">
        <v>2138</v>
      </c>
      <c r="B439" t="s">
        <v>531</v>
      </c>
      <c r="C439" s="20">
        <v>40269</v>
      </c>
      <c r="E439" s="20">
        <v>40298</v>
      </c>
      <c r="F439" s="1" t="s">
        <v>122</v>
      </c>
    </row>
    <row r="440" spans="1:6" x14ac:dyDescent="0.25">
      <c r="A440">
        <v>2139</v>
      </c>
      <c r="B440" t="s">
        <v>532</v>
      </c>
      <c r="C440" s="20">
        <v>40269</v>
      </c>
      <c r="E440" s="20">
        <v>40359</v>
      </c>
      <c r="F440" s="1" t="s">
        <v>122</v>
      </c>
    </row>
    <row r="441" spans="1:6" x14ac:dyDescent="0.25">
      <c r="A441">
        <v>2140</v>
      </c>
      <c r="B441" t="s">
        <v>533</v>
      </c>
      <c r="C441" s="20">
        <v>40269</v>
      </c>
      <c r="E441" s="20">
        <v>40397</v>
      </c>
      <c r="F441" s="1" t="s">
        <v>122</v>
      </c>
    </row>
    <row r="442" spans="1:6" x14ac:dyDescent="0.25">
      <c r="A442">
        <v>2141</v>
      </c>
      <c r="B442" t="s">
        <v>534</v>
      </c>
      <c r="C442" s="20">
        <v>40294</v>
      </c>
      <c r="E442" s="20">
        <v>40724</v>
      </c>
      <c r="F442" s="1" t="s">
        <v>122</v>
      </c>
    </row>
    <row r="443" spans="1:6" x14ac:dyDescent="0.25">
      <c r="A443">
        <v>2142</v>
      </c>
      <c r="B443" t="s">
        <v>535</v>
      </c>
      <c r="C443" s="20">
        <v>40299</v>
      </c>
      <c r="E443" s="20">
        <v>40329</v>
      </c>
      <c r="F443" s="1" t="s">
        <v>122</v>
      </c>
    </row>
    <row r="444" spans="1:6" x14ac:dyDescent="0.25">
      <c r="A444">
        <v>2143</v>
      </c>
      <c r="B444" t="s">
        <v>536</v>
      </c>
      <c r="C444" s="20">
        <v>40302</v>
      </c>
      <c r="E444" s="20">
        <v>40309</v>
      </c>
      <c r="F444" s="1" t="s">
        <v>122</v>
      </c>
    </row>
    <row r="445" spans="1:6" x14ac:dyDescent="0.25">
      <c r="A445">
        <v>2144</v>
      </c>
      <c r="B445" t="s">
        <v>537</v>
      </c>
      <c r="C445" s="20">
        <v>40323</v>
      </c>
      <c r="E445" s="20">
        <v>40389</v>
      </c>
      <c r="F445" s="1" t="s">
        <v>122</v>
      </c>
    </row>
    <row r="446" spans="1:6" x14ac:dyDescent="0.25">
      <c r="A446">
        <v>2145</v>
      </c>
      <c r="B446" t="s">
        <v>538</v>
      </c>
      <c r="C446" s="20">
        <v>40325</v>
      </c>
      <c r="E446" s="20">
        <v>40359</v>
      </c>
      <c r="F446" s="1" t="s">
        <v>122</v>
      </c>
    </row>
    <row r="447" spans="1:6" x14ac:dyDescent="0.25">
      <c r="A447">
        <v>2146</v>
      </c>
      <c r="B447" t="s">
        <v>539</v>
      </c>
      <c r="C447" s="20">
        <v>40330</v>
      </c>
      <c r="E447" s="20">
        <v>40359</v>
      </c>
      <c r="F447" s="1" t="s">
        <v>122</v>
      </c>
    </row>
    <row r="448" spans="1:6" x14ac:dyDescent="0.25">
      <c r="A448">
        <v>2147</v>
      </c>
      <c r="B448" t="s">
        <v>540</v>
      </c>
      <c r="C448" s="20">
        <v>40331</v>
      </c>
      <c r="E448" s="20">
        <v>40351</v>
      </c>
      <c r="F448" s="1" t="s">
        <v>122</v>
      </c>
    </row>
    <row r="449" spans="1:6" x14ac:dyDescent="0.25">
      <c r="A449">
        <v>2148</v>
      </c>
      <c r="B449" t="s">
        <v>541</v>
      </c>
      <c r="C449" s="20">
        <v>40338</v>
      </c>
      <c r="E449" s="20">
        <v>40359</v>
      </c>
      <c r="F449" s="1" t="s">
        <v>122</v>
      </c>
    </row>
    <row r="450" spans="1:6" x14ac:dyDescent="0.25">
      <c r="A450">
        <v>2149</v>
      </c>
      <c r="B450" t="s">
        <v>542</v>
      </c>
      <c r="C450" s="20">
        <v>40338</v>
      </c>
      <c r="E450" s="20">
        <v>40420</v>
      </c>
      <c r="F450" s="1" t="s">
        <v>122</v>
      </c>
    </row>
    <row r="451" spans="1:6" x14ac:dyDescent="0.25">
      <c r="A451">
        <v>2150</v>
      </c>
      <c r="B451" t="s">
        <v>543</v>
      </c>
      <c r="C451" s="20">
        <v>40339</v>
      </c>
      <c r="E451" s="20">
        <v>40359</v>
      </c>
      <c r="F451" s="1" t="s">
        <v>122</v>
      </c>
    </row>
    <row r="452" spans="1:6" x14ac:dyDescent="0.25">
      <c r="A452">
        <v>2151</v>
      </c>
      <c r="B452" t="s">
        <v>544</v>
      </c>
      <c r="C452" s="20">
        <v>40339</v>
      </c>
      <c r="E452" s="20">
        <v>40359</v>
      </c>
      <c r="F452" s="1" t="s">
        <v>122</v>
      </c>
    </row>
    <row r="453" spans="1:6" x14ac:dyDescent="0.25">
      <c r="A453">
        <v>2152</v>
      </c>
      <c r="B453" t="s">
        <v>545</v>
      </c>
      <c r="C453" s="20">
        <v>40351</v>
      </c>
      <c r="E453" s="20">
        <v>40359</v>
      </c>
      <c r="F453" s="1" t="s">
        <v>122</v>
      </c>
    </row>
    <row r="454" spans="1:6" x14ac:dyDescent="0.25">
      <c r="A454">
        <v>2153</v>
      </c>
      <c r="B454" t="s">
        <v>546</v>
      </c>
      <c r="C454" s="20">
        <v>40359</v>
      </c>
      <c r="E454" s="20">
        <v>40378</v>
      </c>
      <c r="F454" s="1" t="s">
        <v>122</v>
      </c>
    </row>
    <row r="455" spans="1:6" x14ac:dyDescent="0.25">
      <c r="A455">
        <v>2154</v>
      </c>
      <c r="B455" t="s">
        <v>547</v>
      </c>
      <c r="C455" s="20">
        <v>40360</v>
      </c>
      <c r="E455" s="20">
        <v>40390</v>
      </c>
      <c r="F455" s="1" t="s">
        <v>122</v>
      </c>
    </row>
    <row r="456" spans="1:6" x14ac:dyDescent="0.25">
      <c r="A456">
        <v>2155</v>
      </c>
      <c r="B456" t="s">
        <v>548</v>
      </c>
      <c r="C456" s="20">
        <v>40360</v>
      </c>
      <c r="E456" s="20">
        <v>40451</v>
      </c>
      <c r="F456" s="1" t="s">
        <v>122</v>
      </c>
    </row>
    <row r="457" spans="1:6" x14ac:dyDescent="0.25">
      <c r="A457">
        <v>2156</v>
      </c>
      <c r="B457" t="s">
        <v>549</v>
      </c>
      <c r="C457" s="20">
        <v>40371</v>
      </c>
      <c r="E457" s="20">
        <v>372429</v>
      </c>
      <c r="F457" s="1" t="s">
        <v>122</v>
      </c>
    </row>
    <row r="458" spans="1:6" x14ac:dyDescent="0.25">
      <c r="A458">
        <v>2157</v>
      </c>
      <c r="B458" t="s">
        <v>550</v>
      </c>
      <c r="C458" s="20">
        <v>40371</v>
      </c>
      <c r="E458" s="20">
        <v>40663</v>
      </c>
      <c r="F458" s="1" t="s">
        <v>122</v>
      </c>
    </row>
    <row r="459" spans="1:6" x14ac:dyDescent="0.25">
      <c r="A459">
        <v>2158</v>
      </c>
      <c r="B459" t="s">
        <v>551</v>
      </c>
      <c r="C459" s="20">
        <v>40299</v>
      </c>
      <c r="E459" s="20">
        <v>40663</v>
      </c>
      <c r="F459" s="1" t="s">
        <v>122</v>
      </c>
    </row>
    <row r="460" spans="1:6" x14ac:dyDescent="0.25">
      <c r="A460">
        <v>2159</v>
      </c>
      <c r="B460" t="s">
        <v>552</v>
      </c>
      <c r="C460" s="20">
        <v>40299</v>
      </c>
      <c r="E460" s="20">
        <v>40663</v>
      </c>
      <c r="F460" s="1" t="s">
        <v>122</v>
      </c>
    </row>
    <row r="461" spans="1:6" x14ac:dyDescent="0.25">
      <c r="A461">
        <v>2160</v>
      </c>
      <c r="B461" t="s">
        <v>553</v>
      </c>
      <c r="C461" s="20">
        <v>40299</v>
      </c>
      <c r="E461" s="20">
        <v>40663</v>
      </c>
      <c r="F461" s="1" t="s">
        <v>122</v>
      </c>
    </row>
    <row r="462" spans="1:6" x14ac:dyDescent="0.25">
      <c r="A462">
        <v>2161</v>
      </c>
      <c r="B462" t="s">
        <v>554</v>
      </c>
      <c r="C462" s="20">
        <v>40299</v>
      </c>
      <c r="E462" s="20">
        <v>40663</v>
      </c>
      <c r="F462" s="1" t="s">
        <v>122</v>
      </c>
    </row>
    <row r="463" spans="1:6" x14ac:dyDescent="0.25">
      <c r="A463">
        <v>2162</v>
      </c>
      <c r="B463" t="s">
        <v>555</v>
      </c>
      <c r="C463" s="20">
        <v>40299</v>
      </c>
      <c r="E463" s="20">
        <v>40663</v>
      </c>
      <c r="F463" s="1" t="s">
        <v>122</v>
      </c>
    </row>
    <row r="464" spans="1:6" x14ac:dyDescent="0.25">
      <c r="A464">
        <v>2163</v>
      </c>
      <c r="B464" t="s">
        <v>556</v>
      </c>
      <c r="C464" s="20">
        <v>40299</v>
      </c>
      <c r="E464" s="20">
        <v>40663</v>
      </c>
      <c r="F464" s="1" t="s">
        <v>122</v>
      </c>
    </row>
    <row r="465" spans="1:6" x14ac:dyDescent="0.25">
      <c r="A465">
        <v>2164</v>
      </c>
      <c r="B465" t="s">
        <v>557</v>
      </c>
      <c r="C465" s="20">
        <v>40299</v>
      </c>
      <c r="E465" s="20">
        <v>40663</v>
      </c>
      <c r="F465" s="1" t="s">
        <v>122</v>
      </c>
    </row>
    <row r="466" spans="1:6" x14ac:dyDescent="0.25">
      <c r="A466">
        <v>2165</v>
      </c>
      <c r="B466" t="s">
        <v>558</v>
      </c>
      <c r="C466" s="20">
        <v>40299</v>
      </c>
      <c r="E466" s="20">
        <v>40663</v>
      </c>
      <c r="F466" s="1" t="s">
        <v>122</v>
      </c>
    </row>
    <row r="467" spans="1:6" x14ac:dyDescent="0.25">
      <c r="A467">
        <v>2166</v>
      </c>
      <c r="B467" t="s">
        <v>559</v>
      </c>
      <c r="C467" s="20">
        <v>40299</v>
      </c>
      <c r="E467" s="20">
        <v>40663</v>
      </c>
      <c r="F467" s="1" t="s">
        <v>122</v>
      </c>
    </row>
    <row r="468" spans="1:6" x14ac:dyDescent="0.25">
      <c r="A468">
        <v>2167</v>
      </c>
      <c r="B468" t="s">
        <v>560</v>
      </c>
      <c r="C468" s="20">
        <v>40299</v>
      </c>
      <c r="E468" s="20">
        <v>40663</v>
      </c>
      <c r="F468" s="1" t="s">
        <v>122</v>
      </c>
    </row>
    <row r="469" spans="1:6" x14ac:dyDescent="0.25">
      <c r="A469">
        <v>2168</v>
      </c>
      <c r="B469" t="s">
        <v>561</v>
      </c>
      <c r="C469" s="20">
        <v>40299</v>
      </c>
      <c r="E469" s="20">
        <v>40663</v>
      </c>
      <c r="F469" s="1" t="s">
        <v>122</v>
      </c>
    </row>
    <row r="470" spans="1:6" x14ac:dyDescent="0.25">
      <c r="A470">
        <v>2169</v>
      </c>
      <c r="B470" t="s">
        <v>562</v>
      </c>
      <c r="C470" s="20">
        <v>40299</v>
      </c>
      <c r="E470" s="20">
        <v>40663</v>
      </c>
      <c r="F470" s="1" t="s">
        <v>122</v>
      </c>
    </row>
    <row r="471" spans="1:6" x14ac:dyDescent="0.25">
      <c r="A471">
        <v>2170</v>
      </c>
      <c r="B471" t="s">
        <v>563</v>
      </c>
      <c r="C471" s="20">
        <v>40299</v>
      </c>
      <c r="E471" s="20">
        <v>40663</v>
      </c>
      <c r="F471" s="1" t="s">
        <v>122</v>
      </c>
    </row>
    <row r="472" spans="1:6" x14ac:dyDescent="0.25">
      <c r="A472">
        <v>2171</v>
      </c>
      <c r="B472" t="s">
        <v>564</v>
      </c>
      <c r="C472" s="20">
        <v>40299</v>
      </c>
      <c r="E472" s="20">
        <v>40663</v>
      </c>
      <c r="F472" s="1" t="s">
        <v>122</v>
      </c>
    </row>
    <row r="473" spans="1:6" x14ac:dyDescent="0.25">
      <c r="A473">
        <v>2172</v>
      </c>
      <c r="B473" t="s">
        <v>565</v>
      </c>
      <c r="C473" s="20">
        <v>40299</v>
      </c>
      <c r="E473" s="20">
        <v>40663</v>
      </c>
      <c r="F473" s="1" t="s">
        <v>122</v>
      </c>
    </row>
    <row r="474" spans="1:6" x14ac:dyDescent="0.25">
      <c r="A474">
        <v>2173</v>
      </c>
      <c r="B474" t="s">
        <v>566</v>
      </c>
      <c r="C474" s="20">
        <v>40299</v>
      </c>
      <c r="E474" s="20">
        <v>40663</v>
      </c>
      <c r="F474" s="1" t="s">
        <v>122</v>
      </c>
    </row>
    <row r="475" spans="1:6" x14ac:dyDescent="0.25">
      <c r="A475">
        <v>2174</v>
      </c>
      <c r="B475" t="s">
        <v>567</v>
      </c>
      <c r="C475" s="20">
        <v>40299</v>
      </c>
      <c r="E475" s="20">
        <v>40663</v>
      </c>
      <c r="F475" s="1" t="s">
        <v>122</v>
      </c>
    </row>
    <row r="476" spans="1:6" x14ac:dyDescent="0.25">
      <c r="A476">
        <v>2175</v>
      </c>
      <c r="B476" t="s">
        <v>568</v>
      </c>
      <c r="C476" s="20">
        <v>40299</v>
      </c>
      <c r="E476" s="20">
        <v>40663</v>
      </c>
      <c r="F476" s="1" t="s">
        <v>122</v>
      </c>
    </row>
    <row r="477" spans="1:6" x14ac:dyDescent="0.25">
      <c r="A477">
        <v>2176</v>
      </c>
      <c r="B477" t="s">
        <v>569</v>
      </c>
      <c r="C477" s="20">
        <v>40299</v>
      </c>
      <c r="E477" s="20">
        <v>40663</v>
      </c>
      <c r="F477" s="1" t="s">
        <v>122</v>
      </c>
    </row>
    <row r="478" spans="1:6" x14ac:dyDescent="0.25">
      <c r="A478">
        <v>2177</v>
      </c>
      <c r="B478" t="s">
        <v>570</v>
      </c>
      <c r="C478" s="20">
        <v>40299</v>
      </c>
      <c r="E478" s="20">
        <v>40663</v>
      </c>
      <c r="F478" s="1" t="s">
        <v>122</v>
      </c>
    </row>
    <row r="479" spans="1:6" x14ac:dyDescent="0.25">
      <c r="A479">
        <v>2178</v>
      </c>
      <c r="B479" t="s">
        <v>571</v>
      </c>
      <c r="C479" s="20">
        <v>40299</v>
      </c>
      <c r="E479" s="20">
        <v>40663</v>
      </c>
      <c r="F479" s="1" t="s">
        <v>122</v>
      </c>
    </row>
    <row r="480" spans="1:6" x14ac:dyDescent="0.25">
      <c r="A480">
        <v>2179</v>
      </c>
      <c r="B480" t="s">
        <v>572</v>
      </c>
      <c r="C480" s="20">
        <v>40388</v>
      </c>
      <c r="E480" s="20">
        <v>40451</v>
      </c>
      <c r="F480" s="1" t="s">
        <v>122</v>
      </c>
    </row>
    <row r="481" spans="1:6" x14ac:dyDescent="0.25">
      <c r="A481">
        <v>2180</v>
      </c>
      <c r="B481" t="s">
        <v>573</v>
      </c>
      <c r="C481" s="20">
        <v>40388</v>
      </c>
      <c r="E481" s="20">
        <v>40420</v>
      </c>
      <c r="F481" s="1" t="s">
        <v>122</v>
      </c>
    </row>
    <row r="482" spans="1:6" x14ac:dyDescent="0.25">
      <c r="A482">
        <v>2181</v>
      </c>
      <c r="B482" t="s">
        <v>492</v>
      </c>
      <c r="C482" s="20">
        <v>40391</v>
      </c>
      <c r="E482" s="20">
        <v>40421</v>
      </c>
      <c r="F482" s="1" t="s">
        <v>122</v>
      </c>
    </row>
    <row r="483" spans="1:6" x14ac:dyDescent="0.25">
      <c r="A483">
        <v>2182</v>
      </c>
      <c r="B483" t="s">
        <v>574</v>
      </c>
      <c r="C483" s="20">
        <v>40407</v>
      </c>
      <c r="E483" s="20">
        <v>40436</v>
      </c>
      <c r="F483" s="1" t="s">
        <v>122</v>
      </c>
    </row>
    <row r="484" spans="1:6" x14ac:dyDescent="0.25">
      <c r="A484">
        <v>2183</v>
      </c>
      <c r="B484" t="s">
        <v>499</v>
      </c>
      <c r="C484" s="20">
        <v>40422</v>
      </c>
      <c r="E484" s="20">
        <v>40451</v>
      </c>
      <c r="F484" s="1" t="s">
        <v>122</v>
      </c>
    </row>
    <row r="485" spans="1:6" x14ac:dyDescent="0.25">
      <c r="A485">
        <v>2184</v>
      </c>
      <c r="B485" t="s">
        <v>575</v>
      </c>
      <c r="C485" s="20">
        <v>40435</v>
      </c>
      <c r="E485" s="20">
        <v>40451</v>
      </c>
      <c r="F485" s="1" t="s">
        <v>122</v>
      </c>
    </row>
    <row r="486" spans="1:6" x14ac:dyDescent="0.25">
      <c r="A486">
        <v>2185</v>
      </c>
      <c r="B486" t="s">
        <v>576</v>
      </c>
      <c r="C486" s="20">
        <v>40437</v>
      </c>
      <c r="E486" s="20">
        <v>40497</v>
      </c>
      <c r="F486" s="1" t="s">
        <v>122</v>
      </c>
    </row>
    <row r="487" spans="1:6" x14ac:dyDescent="0.25">
      <c r="A487">
        <v>2186</v>
      </c>
      <c r="B487" t="s">
        <v>577</v>
      </c>
      <c r="C487" s="20">
        <v>40452</v>
      </c>
      <c r="E487" s="20">
        <v>40482</v>
      </c>
      <c r="F487" s="1" t="s">
        <v>122</v>
      </c>
    </row>
    <row r="488" spans="1:6" x14ac:dyDescent="0.25">
      <c r="A488">
        <v>2187</v>
      </c>
      <c r="B488" t="s">
        <v>578</v>
      </c>
      <c r="C488" s="20">
        <v>40452</v>
      </c>
      <c r="E488" s="20">
        <v>40543</v>
      </c>
      <c r="F488" s="1" t="s">
        <v>122</v>
      </c>
    </row>
    <row r="489" spans="1:6" x14ac:dyDescent="0.25">
      <c r="A489">
        <v>2188</v>
      </c>
      <c r="B489" t="s">
        <v>579</v>
      </c>
      <c r="C489" s="20">
        <v>40452</v>
      </c>
      <c r="E489" s="20">
        <v>40512</v>
      </c>
      <c r="F489" s="1" t="s">
        <v>122</v>
      </c>
    </row>
    <row r="490" spans="1:6" x14ac:dyDescent="0.25">
      <c r="A490">
        <v>2189</v>
      </c>
      <c r="B490" t="s">
        <v>580</v>
      </c>
      <c r="C490" s="20">
        <v>40458</v>
      </c>
      <c r="E490" s="20">
        <v>40512</v>
      </c>
      <c r="F490" s="1" t="s">
        <v>122</v>
      </c>
    </row>
    <row r="491" spans="1:6" x14ac:dyDescent="0.25">
      <c r="A491">
        <v>2190</v>
      </c>
      <c r="B491" t="s">
        <v>581</v>
      </c>
      <c r="C491" s="20">
        <v>40483</v>
      </c>
      <c r="E491" s="20">
        <v>40512</v>
      </c>
      <c r="F491" s="1" t="s">
        <v>122</v>
      </c>
    </row>
    <row r="492" spans="1:6" x14ac:dyDescent="0.25">
      <c r="A492">
        <v>2191</v>
      </c>
      <c r="B492" t="s">
        <v>582</v>
      </c>
      <c r="C492" s="20">
        <v>40504</v>
      </c>
      <c r="E492" s="20">
        <v>40589</v>
      </c>
      <c r="F492" s="1" t="s">
        <v>122</v>
      </c>
    </row>
    <row r="493" spans="1:6" x14ac:dyDescent="0.25">
      <c r="A493">
        <v>2192</v>
      </c>
      <c r="B493" t="s">
        <v>583</v>
      </c>
      <c r="C493" s="20">
        <v>40504</v>
      </c>
      <c r="E493" s="20">
        <v>40663</v>
      </c>
      <c r="F493" s="1" t="s">
        <v>122</v>
      </c>
    </row>
    <row r="494" spans="1:6" x14ac:dyDescent="0.25">
      <c r="A494">
        <v>2193</v>
      </c>
      <c r="B494" t="s">
        <v>436</v>
      </c>
      <c r="C494" s="20">
        <v>40513</v>
      </c>
      <c r="E494" s="20">
        <v>40543</v>
      </c>
      <c r="F494" s="1" t="s">
        <v>122</v>
      </c>
    </row>
    <row r="495" spans="1:6" x14ac:dyDescent="0.25">
      <c r="A495">
        <v>2194</v>
      </c>
      <c r="B495" t="s">
        <v>584</v>
      </c>
      <c r="C495" s="20">
        <v>40513</v>
      </c>
      <c r="E495" s="20">
        <v>40527</v>
      </c>
      <c r="F495" s="1" t="s">
        <v>122</v>
      </c>
    </row>
    <row r="496" spans="1:6" x14ac:dyDescent="0.25">
      <c r="A496">
        <v>2195</v>
      </c>
      <c r="B496" t="s">
        <v>585</v>
      </c>
      <c r="C496" s="20">
        <v>40529</v>
      </c>
      <c r="E496" s="20">
        <v>40669</v>
      </c>
      <c r="F496" s="1" t="s">
        <v>122</v>
      </c>
    </row>
    <row r="497" spans="1:6" x14ac:dyDescent="0.25">
      <c r="A497">
        <v>2196</v>
      </c>
      <c r="B497" t="s">
        <v>586</v>
      </c>
      <c r="C497" s="20">
        <v>40529</v>
      </c>
      <c r="E497" s="20">
        <v>40669</v>
      </c>
      <c r="F497" s="1" t="s">
        <v>122</v>
      </c>
    </row>
    <row r="498" spans="1:6" x14ac:dyDescent="0.25">
      <c r="A498">
        <v>2197</v>
      </c>
      <c r="B498" t="s">
        <v>587</v>
      </c>
      <c r="C498" s="20">
        <v>40544</v>
      </c>
      <c r="E498" s="20">
        <v>40633</v>
      </c>
      <c r="F498" s="1" t="s">
        <v>122</v>
      </c>
    </row>
    <row r="499" spans="1:6" x14ac:dyDescent="0.25">
      <c r="A499">
        <v>2198</v>
      </c>
      <c r="B499" t="s">
        <v>522</v>
      </c>
      <c r="C499" s="20">
        <v>40544</v>
      </c>
      <c r="E499" s="20">
        <v>40574</v>
      </c>
      <c r="F499" s="1" t="s">
        <v>122</v>
      </c>
    </row>
    <row r="500" spans="1:6" x14ac:dyDescent="0.25">
      <c r="A500">
        <v>2199</v>
      </c>
      <c r="B500" t="s">
        <v>588</v>
      </c>
      <c r="C500" s="20">
        <v>40534</v>
      </c>
      <c r="E500" s="20">
        <v>40575</v>
      </c>
      <c r="F500" s="1" t="s">
        <v>122</v>
      </c>
    </row>
    <row r="501" spans="1:6" x14ac:dyDescent="0.25">
      <c r="A501">
        <v>2200</v>
      </c>
      <c r="B501" t="s">
        <v>589</v>
      </c>
      <c r="C501" s="20">
        <v>40183</v>
      </c>
      <c r="E501" s="20">
        <v>40575</v>
      </c>
      <c r="F501" s="1" t="s">
        <v>122</v>
      </c>
    </row>
    <row r="502" spans="1:6" x14ac:dyDescent="0.25">
      <c r="A502">
        <v>2201</v>
      </c>
      <c r="B502" t="s">
        <v>590</v>
      </c>
      <c r="C502" s="20">
        <v>40556</v>
      </c>
      <c r="E502" s="20">
        <v>40663</v>
      </c>
      <c r="F502" s="1" t="s">
        <v>122</v>
      </c>
    </row>
    <row r="503" spans="1:6" x14ac:dyDescent="0.25">
      <c r="A503">
        <v>2202</v>
      </c>
      <c r="B503" t="s">
        <v>591</v>
      </c>
      <c r="C503" s="20">
        <v>40556</v>
      </c>
      <c r="E503" s="20">
        <v>40663</v>
      </c>
      <c r="F503" s="1" t="s">
        <v>122</v>
      </c>
    </row>
    <row r="504" spans="1:6" x14ac:dyDescent="0.25">
      <c r="A504">
        <v>2203</v>
      </c>
      <c r="B504" t="s">
        <v>526</v>
      </c>
      <c r="C504" s="20">
        <v>40575</v>
      </c>
      <c r="E504" s="20">
        <v>40602</v>
      </c>
      <c r="F504" s="1" t="s">
        <v>122</v>
      </c>
    </row>
    <row r="505" spans="1:6" x14ac:dyDescent="0.25">
      <c r="A505">
        <v>2204</v>
      </c>
      <c r="B505" t="s">
        <v>528</v>
      </c>
      <c r="C505" s="20">
        <v>40603</v>
      </c>
      <c r="E505" s="20">
        <v>40633</v>
      </c>
      <c r="F505" s="1" t="s">
        <v>122</v>
      </c>
    </row>
    <row r="506" spans="1:6" x14ac:dyDescent="0.25">
      <c r="A506">
        <v>2205</v>
      </c>
      <c r="B506" t="s">
        <v>592</v>
      </c>
      <c r="C506" s="20">
        <v>40603</v>
      </c>
      <c r="E506" s="20">
        <v>41090</v>
      </c>
      <c r="F506" s="1" t="s">
        <v>122</v>
      </c>
    </row>
    <row r="507" spans="1:6" x14ac:dyDescent="0.25">
      <c r="A507">
        <v>2206</v>
      </c>
      <c r="B507" t="s">
        <v>593</v>
      </c>
      <c r="C507" s="20">
        <v>40625</v>
      </c>
      <c r="E507" s="20">
        <v>40724</v>
      </c>
      <c r="F507" s="1" t="s">
        <v>122</v>
      </c>
    </row>
    <row r="508" spans="1:6" x14ac:dyDescent="0.25">
      <c r="A508">
        <v>2207</v>
      </c>
      <c r="B508" t="s">
        <v>448</v>
      </c>
      <c r="C508" s="20">
        <v>40634</v>
      </c>
      <c r="E508" s="20">
        <v>40663</v>
      </c>
      <c r="F508" s="1" t="s">
        <v>122</v>
      </c>
    </row>
    <row r="509" spans="1:6" x14ac:dyDescent="0.25">
      <c r="A509">
        <v>2208</v>
      </c>
      <c r="B509" t="s">
        <v>594</v>
      </c>
      <c r="C509" s="20">
        <v>40634</v>
      </c>
      <c r="E509" s="20">
        <v>40724</v>
      </c>
      <c r="F509" s="1" t="s">
        <v>122</v>
      </c>
    </row>
    <row r="510" spans="1:6" x14ac:dyDescent="0.25">
      <c r="A510">
        <v>2209</v>
      </c>
      <c r="B510" t="s">
        <v>452</v>
      </c>
      <c r="C510" s="20">
        <v>40664</v>
      </c>
      <c r="E510" s="20">
        <v>40694</v>
      </c>
      <c r="F510" s="1" t="s">
        <v>122</v>
      </c>
    </row>
    <row r="511" spans="1:6" x14ac:dyDescent="0.25">
      <c r="A511">
        <v>2210</v>
      </c>
      <c r="B511" t="s">
        <v>371</v>
      </c>
      <c r="C511" s="20">
        <v>40695</v>
      </c>
      <c r="E511" s="20">
        <v>40724</v>
      </c>
      <c r="F511" s="1" t="s">
        <v>122</v>
      </c>
    </row>
    <row r="512" spans="1:6" x14ac:dyDescent="0.25">
      <c r="A512">
        <v>2211</v>
      </c>
      <c r="B512" t="s">
        <v>595</v>
      </c>
      <c r="C512" s="20">
        <v>40697</v>
      </c>
      <c r="E512" s="20">
        <v>40786</v>
      </c>
      <c r="F512" s="1" t="s">
        <v>122</v>
      </c>
    </row>
    <row r="513" spans="1:6" x14ac:dyDescent="0.25">
      <c r="A513">
        <v>2212</v>
      </c>
      <c r="B513" t="s">
        <v>596</v>
      </c>
      <c r="C513" s="20">
        <v>40721</v>
      </c>
      <c r="E513" s="20">
        <v>40724</v>
      </c>
      <c r="F513" s="1" t="s">
        <v>122</v>
      </c>
    </row>
    <row r="514" spans="1:6" x14ac:dyDescent="0.25">
      <c r="A514">
        <v>2213</v>
      </c>
      <c r="B514" t="s">
        <v>470</v>
      </c>
      <c r="C514" s="20">
        <v>40725</v>
      </c>
      <c r="E514" s="20">
        <v>40755</v>
      </c>
      <c r="F514" s="1" t="s">
        <v>122</v>
      </c>
    </row>
    <row r="515" spans="1:6" x14ac:dyDescent="0.25">
      <c r="A515">
        <v>2214</v>
      </c>
      <c r="B515" t="s">
        <v>597</v>
      </c>
      <c r="C515" s="20">
        <v>40725</v>
      </c>
      <c r="E515" s="20">
        <v>40816</v>
      </c>
      <c r="F515" s="1" t="s">
        <v>122</v>
      </c>
    </row>
    <row r="516" spans="1:6" x14ac:dyDescent="0.25">
      <c r="A516">
        <v>2215</v>
      </c>
      <c r="B516" t="s">
        <v>545</v>
      </c>
      <c r="C516" s="20">
        <v>40725</v>
      </c>
      <c r="E516" s="20">
        <v>40816</v>
      </c>
      <c r="F516" s="1" t="s">
        <v>122</v>
      </c>
    </row>
    <row r="517" spans="1:6" x14ac:dyDescent="0.25">
      <c r="A517">
        <v>2216</v>
      </c>
      <c r="B517" t="s">
        <v>598</v>
      </c>
      <c r="C517" s="20">
        <v>40729</v>
      </c>
      <c r="E517" s="20">
        <v>40877</v>
      </c>
      <c r="F517" s="1" t="s">
        <v>122</v>
      </c>
    </row>
    <row r="518" spans="1:6" x14ac:dyDescent="0.25">
      <c r="A518">
        <v>2217</v>
      </c>
      <c r="B518" t="s">
        <v>599</v>
      </c>
      <c r="C518" s="20">
        <v>40737</v>
      </c>
      <c r="E518" s="20">
        <v>40746</v>
      </c>
      <c r="F518" s="1" t="s">
        <v>122</v>
      </c>
    </row>
    <row r="519" spans="1:6" x14ac:dyDescent="0.25">
      <c r="A519">
        <v>2218</v>
      </c>
      <c r="B519" t="s">
        <v>600</v>
      </c>
      <c r="C519" s="20">
        <v>40745</v>
      </c>
      <c r="E519" s="20">
        <v>40786</v>
      </c>
      <c r="F519" s="1" t="s">
        <v>122</v>
      </c>
    </row>
    <row r="520" spans="1:6" x14ac:dyDescent="0.25">
      <c r="A520">
        <v>2219</v>
      </c>
      <c r="B520" t="s">
        <v>601</v>
      </c>
      <c r="C520" s="20">
        <v>40749</v>
      </c>
      <c r="E520" s="20">
        <v>40877</v>
      </c>
      <c r="F520" s="1" t="s">
        <v>122</v>
      </c>
    </row>
    <row r="521" spans="1:6" x14ac:dyDescent="0.25">
      <c r="A521">
        <v>2220</v>
      </c>
      <c r="B521" t="s">
        <v>602</v>
      </c>
      <c r="C521" s="20">
        <v>40750</v>
      </c>
      <c r="E521" s="20">
        <v>41090</v>
      </c>
      <c r="F521" s="1" t="s">
        <v>122</v>
      </c>
    </row>
    <row r="522" spans="1:6" x14ac:dyDescent="0.25">
      <c r="A522">
        <v>2221</v>
      </c>
      <c r="B522" t="s">
        <v>603</v>
      </c>
      <c r="C522" s="20">
        <v>40750</v>
      </c>
      <c r="E522" s="20">
        <v>40781</v>
      </c>
      <c r="F522" s="1" t="s">
        <v>122</v>
      </c>
    </row>
    <row r="523" spans="1:6" x14ac:dyDescent="0.25">
      <c r="A523">
        <v>2222</v>
      </c>
      <c r="B523" t="s">
        <v>492</v>
      </c>
      <c r="C523" s="20">
        <v>40756</v>
      </c>
      <c r="E523" s="20">
        <v>40786</v>
      </c>
      <c r="F523" s="1" t="s">
        <v>122</v>
      </c>
    </row>
    <row r="524" spans="1:6" x14ac:dyDescent="0.25">
      <c r="A524">
        <v>2223</v>
      </c>
      <c r="B524" t="s">
        <v>604</v>
      </c>
      <c r="C524" s="20">
        <v>40756</v>
      </c>
      <c r="E524" s="20">
        <v>40786</v>
      </c>
      <c r="F524" s="1" t="s">
        <v>122</v>
      </c>
    </row>
    <row r="525" spans="1:6" x14ac:dyDescent="0.25">
      <c r="A525">
        <v>2224</v>
      </c>
      <c r="B525" t="s">
        <v>605</v>
      </c>
      <c r="C525" s="20">
        <v>40760</v>
      </c>
      <c r="E525" s="20">
        <v>40847</v>
      </c>
      <c r="F525" s="1" t="s">
        <v>122</v>
      </c>
    </row>
    <row r="526" spans="1:6" x14ac:dyDescent="0.25">
      <c r="A526">
        <v>2225</v>
      </c>
      <c r="B526" t="s">
        <v>606</v>
      </c>
      <c r="C526" s="20">
        <v>40760</v>
      </c>
      <c r="E526" s="20">
        <v>40908</v>
      </c>
      <c r="F526" s="1" t="s">
        <v>122</v>
      </c>
    </row>
    <row r="527" spans="1:6" x14ac:dyDescent="0.25">
      <c r="A527">
        <v>2226</v>
      </c>
      <c r="B527" t="s">
        <v>607</v>
      </c>
      <c r="C527" s="20">
        <v>40773</v>
      </c>
      <c r="E527" s="20">
        <v>40827</v>
      </c>
      <c r="F527" s="1" t="s">
        <v>122</v>
      </c>
    </row>
    <row r="528" spans="1:6" x14ac:dyDescent="0.25">
      <c r="A528">
        <v>2227</v>
      </c>
      <c r="B528" t="s">
        <v>608</v>
      </c>
      <c r="C528" s="20">
        <v>40778</v>
      </c>
      <c r="E528" s="20">
        <v>40939</v>
      </c>
      <c r="F528" s="1" t="s">
        <v>122</v>
      </c>
    </row>
    <row r="529" spans="1:6" x14ac:dyDescent="0.25">
      <c r="A529">
        <v>2228</v>
      </c>
      <c r="B529" t="s">
        <v>609</v>
      </c>
      <c r="C529" s="20">
        <v>40784</v>
      </c>
      <c r="E529" s="20">
        <v>40907</v>
      </c>
      <c r="F529" s="1" t="s">
        <v>122</v>
      </c>
    </row>
    <row r="530" spans="1:6" x14ac:dyDescent="0.25">
      <c r="A530">
        <v>2229</v>
      </c>
      <c r="B530" t="s">
        <v>499</v>
      </c>
      <c r="C530" s="20">
        <v>40787</v>
      </c>
      <c r="E530" s="20">
        <v>40816</v>
      </c>
      <c r="F530" s="1" t="s">
        <v>122</v>
      </c>
    </row>
    <row r="531" spans="1:6" x14ac:dyDescent="0.25">
      <c r="A531">
        <v>2230</v>
      </c>
      <c r="B531" t="s">
        <v>610</v>
      </c>
      <c r="C531" s="20">
        <v>40794</v>
      </c>
      <c r="E531" s="20">
        <v>41090</v>
      </c>
      <c r="F531" s="1" t="s">
        <v>122</v>
      </c>
    </row>
    <row r="532" spans="1:6" x14ac:dyDescent="0.25">
      <c r="A532">
        <v>2231</v>
      </c>
      <c r="B532" t="s">
        <v>611</v>
      </c>
      <c r="C532" s="20">
        <v>40794</v>
      </c>
      <c r="E532" s="20">
        <v>41090</v>
      </c>
      <c r="F532" s="1" t="s">
        <v>122</v>
      </c>
    </row>
    <row r="533" spans="1:6" x14ac:dyDescent="0.25">
      <c r="A533">
        <v>2232</v>
      </c>
      <c r="B533" t="s">
        <v>612</v>
      </c>
      <c r="C533" s="20">
        <v>40794</v>
      </c>
      <c r="E533" s="20">
        <v>41090</v>
      </c>
      <c r="F533" s="1" t="s">
        <v>122</v>
      </c>
    </row>
    <row r="534" spans="1:6" x14ac:dyDescent="0.25">
      <c r="A534">
        <v>2233</v>
      </c>
      <c r="B534" t="s">
        <v>613</v>
      </c>
      <c r="C534" s="20">
        <v>40794</v>
      </c>
      <c r="E534" s="20">
        <v>41090</v>
      </c>
      <c r="F534" s="1" t="s">
        <v>122</v>
      </c>
    </row>
    <row r="535" spans="1:6" x14ac:dyDescent="0.25">
      <c r="A535">
        <v>2234</v>
      </c>
      <c r="B535" t="s">
        <v>614</v>
      </c>
      <c r="C535" s="20">
        <v>40794</v>
      </c>
      <c r="E535" s="20">
        <v>41090</v>
      </c>
      <c r="F535" s="1" t="s">
        <v>122</v>
      </c>
    </row>
    <row r="536" spans="1:6" x14ac:dyDescent="0.25">
      <c r="A536">
        <v>2235</v>
      </c>
      <c r="B536" t="s">
        <v>615</v>
      </c>
      <c r="C536" s="20">
        <v>40794</v>
      </c>
      <c r="E536" s="20">
        <v>41090</v>
      </c>
      <c r="F536" s="1" t="s">
        <v>122</v>
      </c>
    </row>
    <row r="537" spans="1:6" x14ac:dyDescent="0.25">
      <c r="A537">
        <v>2236</v>
      </c>
      <c r="B537" t="s">
        <v>616</v>
      </c>
      <c r="C537" s="20">
        <v>40794</v>
      </c>
      <c r="E537" s="20">
        <v>41090</v>
      </c>
      <c r="F537" s="1" t="s">
        <v>122</v>
      </c>
    </row>
    <row r="538" spans="1:6" x14ac:dyDescent="0.25">
      <c r="A538">
        <v>2237</v>
      </c>
      <c r="B538" t="s">
        <v>617</v>
      </c>
      <c r="C538" s="20">
        <v>40794</v>
      </c>
      <c r="E538" s="20">
        <v>41090</v>
      </c>
      <c r="F538" s="1" t="s">
        <v>122</v>
      </c>
    </row>
    <row r="539" spans="1:6" x14ac:dyDescent="0.25">
      <c r="A539">
        <v>2238</v>
      </c>
      <c r="B539" t="s">
        <v>618</v>
      </c>
      <c r="C539" s="20">
        <v>40794</v>
      </c>
      <c r="E539" s="20">
        <v>41090</v>
      </c>
      <c r="F539" s="1" t="s">
        <v>122</v>
      </c>
    </row>
    <row r="540" spans="1:6" x14ac:dyDescent="0.25">
      <c r="A540">
        <v>2239</v>
      </c>
      <c r="B540" t="s">
        <v>619</v>
      </c>
      <c r="C540" s="20">
        <v>40794</v>
      </c>
      <c r="E540" s="20">
        <v>41090</v>
      </c>
      <c r="F540" s="1" t="s">
        <v>122</v>
      </c>
    </row>
    <row r="541" spans="1:6" x14ac:dyDescent="0.25">
      <c r="A541">
        <v>2240</v>
      </c>
      <c r="B541" t="s">
        <v>620</v>
      </c>
      <c r="C541" s="20">
        <v>40795</v>
      </c>
      <c r="E541" s="20">
        <v>41090</v>
      </c>
      <c r="F541" s="1" t="s">
        <v>122</v>
      </c>
    </row>
    <row r="542" spans="1:6" x14ac:dyDescent="0.25">
      <c r="A542">
        <v>2241</v>
      </c>
      <c r="B542" t="s">
        <v>621</v>
      </c>
      <c r="C542" s="20">
        <v>40795</v>
      </c>
      <c r="E542" s="20">
        <v>41090</v>
      </c>
      <c r="F542" s="1" t="s">
        <v>122</v>
      </c>
    </row>
    <row r="543" spans="1:6" x14ac:dyDescent="0.25">
      <c r="A543">
        <v>2242</v>
      </c>
      <c r="B543" t="s">
        <v>622</v>
      </c>
      <c r="C543" s="20">
        <v>40795</v>
      </c>
      <c r="E543" s="20">
        <v>41090</v>
      </c>
      <c r="F543" s="1" t="s">
        <v>122</v>
      </c>
    </row>
    <row r="544" spans="1:6" x14ac:dyDescent="0.25">
      <c r="A544">
        <v>2243</v>
      </c>
      <c r="B544" t="s">
        <v>623</v>
      </c>
      <c r="C544" s="20">
        <v>40795</v>
      </c>
      <c r="E544" s="20">
        <v>41090</v>
      </c>
      <c r="F544" s="1" t="s">
        <v>122</v>
      </c>
    </row>
    <row r="545" spans="1:6" x14ac:dyDescent="0.25">
      <c r="A545">
        <v>2244</v>
      </c>
      <c r="B545" t="s">
        <v>624</v>
      </c>
      <c r="C545" s="20">
        <v>40795</v>
      </c>
      <c r="E545" s="20">
        <v>41090</v>
      </c>
      <c r="F545" s="1" t="s">
        <v>122</v>
      </c>
    </row>
    <row r="546" spans="1:6" x14ac:dyDescent="0.25">
      <c r="A546">
        <v>2245</v>
      </c>
      <c r="B546" t="s">
        <v>625</v>
      </c>
      <c r="C546" s="20">
        <v>40795</v>
      </c>
      <c r="E546" s="20">
        <v>41090</v>
      </c>
      <c r="F546" s="1" t="s">
        <v>122</v>
      </c>
    </row>
    <row r="547" spans="1:6" x14ac:dyDescent="0.25">
      <c r="A547">
        <v>2246</v>
      </c>
      <c r="B547" t="s">
        <v>626</v>
      </c>
      <c r="C547" s="20">
        <v>40795</v>
      </c>
      <c r="E547" s="20">
        <v>41090</v>
      </c>
      <c r="F547" s="1" t="s">
        <v>122</v>
      </c>
    </row>
    <row r="548" spans="1:6" x14ac:dyDescent="0.25">
      <c r="A548">
        <v>2247</v>
      </c>
      <c r="B548" t="s">
        <v>627</v>
      </c>
      <c r="C548" s="20">
        <v>40795</v>
      </c>
      <c r="E548" s="20">
        <v>41090</v>
      </c>
      <c r="F548" s="1" t="s">
        <v>122</v>
      </c>
    </row>
    <row r="549" spans="1:6" x14ac:dyDescent="0.25">
      <c r="A549">
        <v>2248</v>
      </c>
      <c r="B549" t="s">
        <v>628</v>
      </c>
      <c r="C549" s="20">
        <v>40795</v>
      </c>
      <c r="E549" s="20">
        <v>41090</v>
      </c>
      <c r="F549" s="1" t="s">
        <v>122</v>
      </c>
    </row>
    <row r="550" spans="1:6" x14ac:dyDescent="0.25">
      <c r="A550">
        <v>2249</v>
      </c>
      <c r="B550" t="s">
        <v>629</v>
      </c>
      <c r="C550" s="20">
        <v>40795</v>
      </c>
      <c r="E550" s="20">
        <v>41090</v>
      </c>
      <c r="F550" s="1" t="s">
        <v>122</v>
      </c>
    </row>
    <row r="551" spans="1:6" x14ac:dyDescent="0.25">
      <c r="A551">
        <v>2250</v>
      </c>
      <c r="B551" t="s">
        <v>630</v>
      </c>
      <c r="C551" s="20">
        <v>40795</v>
      </c>
      <c r="E551" s="20">
        <v>41090</v>
      </c>
      <c r="F551" s="1" t="s">
        <v>122</v>
      </c>
    </row>
    <row r="552" spans="1:6" x14ac:dyDescent="0.25">
      <c r="A552">
        <v>2251</v>
      </c>
      <c r="B552" t="s">
        <v>631</v>
      </c>
      <c r="C552" s="20">
        <v>40795</v>
      </c>
      <c r="E552" s="20">
        <v>41090</v>
      </c>
      <c r="F552" s="1" t="s">
        <v>122</v>
      </c>
    </row>
    <row r="553" spans="1:6" x14ac:dyDescent="0.25">
      <c r="A553">
        <v>2252</v>
      </c>
      <c r="B553" t="s">
        <v>632</v>
      </c>
      <c r="C553" s="20">
        <v>40798</v>
      </c>
      <c r="E553" s="20">
        <v>41090</v>
      </c>
      <c r="F553" s="1" t="s">
        <v>122</v>
      </c>
    </row>
    <row r="554" spans="1:6" x14ac:dyDescent="0.25">
      <c r="A554">
        <v>2253</v>
      </c>
      <c r="B554" t="s">
        <v>633</v>
      </c>
      <c r="C554" s="20">
        <v>40798</v>
      </c>
      <c r="E554" s="20">
        <v>41090</v>
      </c>
      <c r="F554" s="1" t="s">
        <v>122</v>
      </c>
    </row>
    <row r="555" spans="1:6" x14ac:dyDescent="0.25">
      <c r="A555">
        <v>2254</v>
      </c>
      <c r="B555" t="s">
        <v>634</v>
      </c>
      <c r="C555" s="20">
        <v>40798</v>
      </c>
      <c r="E555" s="20">
        <v>41090</v>
      </c>
      <c r="F555" s="1" t="s">
        <v>122</v>
      </c>
    </row>
    <row r="556" spans="1:6" x14ac:dyDescent="0.25">
      <c r="A556">
        <v>2255</v>
      </c>
      <c r="B556" t="s">
        <v>635</v>
      </c>
      <c r="C556" s="20">
        <v>40798</v>
      </c>
      <c r="E556" s="20">
        <v>41090</v>
      </c>
      <c r="F556" s="1" t="s">
        <v>122</v>
      </c>
    </row>
    <row r="557" spans="1:6" x14ac:dyDescent="0.25">
      <c r="A557">
        <v>2256</v>
      </c>
      <c r="B557" t="s">
        <v>636</v>
      </c>
      <c r="C557" s="20">
        <v>40798</v>
      </c>
      <c r="E557" s="20">
        <v>41090</v>
      </c>
      <c r="F557" s="1" t="s">
        <v>122</v>
      </c>
    </row>
    <row r="558" spans="1:6" x14ac:dyDescent="0.25">
      <c r="A558">
        <v>2257</v>
      </c>
      <c r="B558" t="s">
        <v>637</v>
      </c>
      <c r="C558" s="20">
        <v>40798</v>
      </c>
      <c r="E558" s="20">
        <v>41090</v>
      </c>
      <c r="F558" s="1" t="s">
        <v>122</v>
      </c>
    </row>
    <row r="559" spans="1:6" x14ac:dyDescent="0.25">
      <c r="A559">
        <v>2258</v>
      </c>
      <c r="B559" t="s">
        <v>638</v>
      </c>
      <c r="C559" s="20">
        <v>40798</v>
      </c>
      <c r="E559" s="20">
        <v>41090</v>
      </c>
      <c r="F559" s="1" t="s">
        <v>122</v>
      </c>
    </row>
    <row r="560" spans="1:6" x14ac:dyDescent="0.25">
      <c r="A560">
        <v>2259</v>
      </c>
      <c r="B560" t="s">
        <v>639</v>
      </c>
      <c r="C560" s="20">
        <v>40799</v>
      </c>
      <c r="E560" s="20">
        <v>41090</v>
      </c>
      <c r="F560" s="1" t="s">
        <v>122</v>
      </c>
    </row>
    <row r="561" spans="1:6" x14ac:dyDescent="0.25">
      <c r="A561">
        <v>2260</v>
      </c>
      <c r="B561" t="s">
        <v>640</v>
      </c>
      <c r="C561" s="20">
        <v>40799</v>
      </c>
      <c r="E561" s="20">
        <v>41090</v>
      </c>
      <c r="F561" s="1" t="s">
        <v>122</v>
      </c>
    </row>
    <row r="562" spans="1:6" x14ac:dyDescent="0.25">
      <c r="A562">
        <v>2261</v>
      </c>
      <c r="B562" t="s">
        <v>641</v>
      </c>
      <c r="C562" s="20">
        <v>40799</v>
      </c>
      <c r="E562" s="20">
        <v>41090</v>
      </c>
      <c r="F562" s="1" t="s">
        <v>122</v>
      </c>
    </row>
    <row r="563" spans="1:6" x14ac:dyDescent="0.25">
      <c r="A563">
        <v>2262</v>
      </c>
      <c r="B563" t="s">
        <v>642</v>
      </c>
      <c r="C563" s="20">
        <v>40799</v>
      </c>
      <c r="E563" s="20">
        <v>41090</v>
      </c>
      <c r="F563" s="1" t="s">
        <v>122</v>
      </c>
    </row>
    <row r="564" spans="1:6" x14ac:dyDescent="0.25">
      <c r="A564">
        <v>2263</v>
      </c>
      <c r="B564" t="s">
        <v>643</v>
      </c>
      <c r="C564" s="20">
        <v>40799</v>
      </c>
      <c r="E564" s="20">
        <v>41090</v>
      </c>
      <c r="F564" s="1" t="s">
        <v>122</v>
      </c>
    </row>
    <row r="565" spans="1:6" x14ac:dyDescent="0.25">
      <c r="A565">
        <v>2264</v>
      </c>
      <c r="B565" t="s">
        <v>644</v>
      </c>
      <c r="C565" s="20">
        <v>40799</v>
      </c>
      <c r="E565" s="20">
        <v>41090</v>
      </c>
      <c r="F565" s="1" t="s">
        <v>122</v>
      </c>
    </row>
    <row r="566" spans="1:6" x14ac:dyDescent="0.25">
      <c r="A566">
        <v>2265</v>
      </c>
      <c r="B566" t="s">
        <v>645</v>
      </c>
      <c r="C566" s="20">
        <v>40799</v>
      </c>
      <c r="E566" s="20">
        <v>40908</v>
      </c>
      <c r="F566" s="1" t="s">
        <v>122</v>
      </c>
    </row>
    <row r="567" spans="1:6" x14ac:dyDescent="0.25">
      <c r="A567">
        <v>2266</v>
      </c>
      <c r="B567" t="s">
        <v>646</v>
      </c>
      <c r="C567" s="20">
        <v>40817</v>
      </c>
      <c r="E567" s="20">
        <v>40847</v>
      </c>
      <c r="F567" s="1" t="s">
        <v>122</v>
      </c>
    </row>
    <row r="568" spans="1:6" x14ac:dyDescent="0.25">
      <c r="A568">
        <v>2267</v>
      </c>
      <c r="B568" t="s">
        <v>647</v>
      </c>
      <c r="C568" s="20">
        <v>40817</v>
      </c>
      <c r="E568" s="20">
        <v>40908</v>
      </c>
      <c r="F568" s="1" t="s">
        <v>122</v>
      </c>
    </row>
    <row r="569" spans="1:6" x14ac:dyDescent="0.25">
      <c r="A569">
        <v>2268</v>
      </c>
      <c r="B569" t="s">
        <v>648</v>
      </c>
      <c r="C569" s="20">
        <v>40820</v>
      </c>
      <c r="E569" s="20">
        <v>40847</v>
      </c>
      <c r="F569" s="1" t="s">
        <v>122</v>
      </c>
    </row>
    <row r="570" spans="1:6" x14ac:dyDescent="0.25">
      <c r="A570">
        <v>2269</v>
      </c>
      <c r="B570" t="s">
        <v>649</v>
      </c>
      <c r="C570" s="20">
        <v>40820</v>
      </c>
      <c r="E570" s="20">
        <v>40877</v>
      </c>
      <c r="F570" s="1" t="s">
        <v>122</v>
      </c>
    </row>
    <row r="571" spans="1:6" x14ac:dyDescent="0.25">
      <c r="A571">
        <v>2270</v>
      </c>
      <c r="B571" t="s">
        <v>581</v>
      </c>
      <c r="C571" s="20">
        <v>40848</v>
      </c>
      <c r="E571" s="20">
        <v>40877</v>
      </c>
      <c r="F571" s="1" t="s">
        <v>122</v>
      </c>
    </row>
    <row r="572" spans="1:6" x14ac:dyDescent="0.25">
      <c r="A572">
        <v>2271</v>
      </c>
      <c r="B572" t="s">
        <v>436</v>
      </c>
      <c r="C572" s="20">
        <v>40878</v>
      </c>
      <c r="E572" s="20">
        <v>40908</v>
      </c>
      <c r="F572" s="1" t="s">
        <v>122</v>
      </c>
    </row>
    <row r="573" spans="1:6" x14ac:dyDescent="0.25">
      <c r="A573">
        <v>2272</v>
      </c>
      <c r="B573" t="s">
        <v>650</v>
      </c>
      <c r="C573" s="20">
        <v>40883</v>
      </c>
      <c r="E573" s="20">
        <v>41274</v>
      </c>
      <c r="F573" s="1" t="s">
        <v>122</v>
      </c>
    </row>
    <row r="574" spans="1:6" x14ac:dyDescent="0.25">
      <c r="A574">
        <v>2273</v>
      </c>
      <c r="B574" t="s">
        <v>651</v>
      </c>
      <c r="C574" s="20">
        <v>40885</v>
      </c>
      <c r="E574" s="20">
        <v>40928</v>
      </c>
      <c r="F574" s="1" t="s">
        <v>122</v>
      </c>
    </row>
    <row r="575" spans="1:6" x14ac:dyDescent="0.25">
      <c r="A575">
        <v>2274</v>
      </c>
      <c r="B575" t="s">
        <v>652</v>
      </c>
      <c r="C575" s="20">
        <v>40891</v>
      </c>
      <c r="E575" s="20">
        <v>41274</v>
      </c>
      <c r="F575" s="1" t="s">
        <v>122</v>
      </c>
    </row>
    <row r="576" spans="1:6" x14ac:dyDescent="0.25">
      <c r="A576">
        <v>2275</v>
      </c>
      <c r="B576" t="s">
        <v>653</v>
      </c>
      <c r="C576" s="20">
        <v>40897</v>
      </c>
      <c r="E576" s="20">
        <v>41358</v>
      </c>
      <c r="F576" s="1" t="s">
        <v>122</v>
      </c>
    </row>
    <row r="577" spans="1:6" x14ac:dyDescent="0.25">
      <c r="A577">
        <v>2276</v>
      </c>
      <c r="B577" t="s">
        <v>522</v>
      </c>
      <c r="C577" s="20">
        <v>40909</v>
      </c>
      <c r="E577" s="20">
        <v>40939</v>
      </c>
      <c r="F577" s="1" t="s">
        <v>122</v>
      </c>
    </row>
    <row r="578" spans="1:6" x14ac:dyDescent="0.25">
      <c r="A578">
        <v>2277</v>
      </c>
      <c r="B578" t="s">
        <v>654</v>
      </c>
      <c r="C578" s="20">
        <v>40909</v>
      </c>
      <c r="E578" s="20">
        <v>40999</v>
      </c>
      <c r="F578" s="1" t="s">
        <v>122</v>
      </c>
    </row>
    <row r="579" spans="1:6" x14ac:dyDescent="0.25">
      <c r="A579">
        <v>2278</v>
      </c>
      <c r="B579" t="s">
        <v>655</v>
      </c>
      <c r="C579" s="20">
        <v>40914</v>
      </c>
      <c r="E579" s="20">
        <v>40939</v>
      </c>
      <c r="F579" s="1" t="s">
        <v>122</v>
      </c>
    </row>
    <row r="580" spans="1:6" x14ac:dyDescent="0.25">
      <c r="A580">
        <v>2279</v>
      </c>
      <c r="B580" t="s">
        <v>526</v>
      </c>
      <c r="C580" s="20">
        <v>40940</v>
      </c>
      <c r="E580" s="20">
        <v>40968</v>
      </c>
      <c r="F580" s="1" t="s">
        <v>122</v>
      </c>
    </row>
    <row r="581" spans="1:6" x14ac:dyDescent="0.25">
      <c r="A581">
        <v>2280</v>
      </c>
      <c r="B581" t="s">
        <v>656</v>
      </c>
      <c r="C581" s="20">
        <v>40940</v>
      </c>
      <c r="E581" s="20">
        <v>41090</v>
      </c>
      <c r="F581" s="1" t="s">
        <v>122</v>
      </c>
    </row>
    <row r="582" spans="1:6" x14ac:dyDescent="0.25">
      <c r="A582">
        <v>2281</v>
      </c>
      <c r="B582" t="s">
        <v>528</v>
      </c>
      <c r="C582" s="20">
        <v>40969</v>
      </c>
      <c r="E582" s="20">
        <v>40999</v>
      </c>
      <c r="F582" s="1" t="s">
        <v>122</v>
      </c>
    </row>
    <row r="583" spans="1:6" x14ac:dyDescent="0.25">
      <c r="A583">
        <v>2282</v>
      </c>
      <c r="B583" t="s">
        <v>657</v>
      </c>
      <c r="C583" s="20">
        <v>40969</v>
      </c>
      <c r="E583" s="20">
        <v>41274</v>
      </c>
      <c r="F583" s="1" t="s">
        <v>122</v>
      </c>
    </row>
    <row r="584" spans="1:6" x14ac:dyDescent="0.25">
      <c r="A584">
        <v>2283</v>
      </c>
      <c r="B584" t="s">
        <v>658</v>
      </c>
      <c r="C584" s="20">
        <v>40973</v>
      </c>
      <c r="E584" s="20">
        <v>41015</v>
      </c>
      <c r="F584" s="1" t="s">
        <v>122</v>
      </c>
    </row>
    <row r="585" spans="1:6" x14ac:dyDescent="0.25">
      <c r="A585">
        <v>2284</v>
      </c>
      <c r="B585" t="s">
        <v>659</v>
      </c>
      <c r="C585" s="20">
        <v>40984</v>
      </c>
      <c r="E585" s="20">
        <v>41060</v>
      </c>
      <c r="F585" s="1" t="s">
        <v>122</v>
      </c>
    </row>
    <row r="586" spans="1:6" x14ac:dyDescent="0.25">
      <c r="A586">
        <v>2285</v>
      </c>
      <c r="B586" t="s">
        <v>660</v>
      </c>
      <c r="C586" s="20">
        <v>40994</v>
      </c>
      <c r="E586" s="20">
        <v>41060</v>
      </c>
      <c r="F586" s="1" t="s">
        <v>122</v>
      </c>
    </row>
    <row r="587" spans="1:6" x14ac:dyDescent="0.25">
      <c r="A587">
        <v>2286</v>
      </c>
      <c r="B587" t="s">
        <v>448</v>
      </c>
      <c r="C587" s="20">
        <v>41000</v>
      </c>
      <c r="E587" s="20">
        <v>41029</v>
      </c>
      <c r="F587" s="1" t="s">
        <v>122</v>
      </c>
    </row>
    <row r="588" spans="1:6" x14ac:dyDescent="0.25">
      <c r="A588">
        <v>2287</v>
      </c>
      <c r="B588" t="s">
        <v>661</v>
      </c>
      <c r="C588" s="20">
        <v>41000</v>
      </c>
      <c r="E588" s="20">
        <v>41090</v>
      </c>
      <c r="F588" s="1" t="s">
        <v>122</v>
      </c>
    </row>
    <row r="589" spans="1:6" x14ac:dyDescent="0.25">
      <c r="A589">
        <v>2288</v>
      </c>
      <c r="B589" t="s">
        <v>662</v>
      </c>
      <c r="C589" s="20">
        <v>41011</v>
      </c>
      <c r="E589" s="20">
        <v>41090</v>
      </c>
      <c r="F589" s="1" t="s">
        <v>122</v>
      </c>
    </row>
    <row r="590" spans="1:6" x14ac:dyDescent="0.25">
      <c r="A590">
        <v>2289</v>
      </c>
      <c r="B590" t="s">
        <v>452</v>
      </c>
      <c r="C590" s="20">
        <v>41030</v>
      </c>
      <c r="E590" s="20">
        <v>41060</v>
      </c>
      <c r="F590" s="1" t="s">
        <v>122</v>
      </c>
    </row>
    <row r="591" spans="1:6" x14ac:dyDescent="0.25">
      <c r="A591">
        <v>2290</v>
      </c>
      <c r="B591" t="s">
        <v>663</v>
      </c>
      <c r="C591" s="20">
        <v>41045</v>
      </c>
      <c r="E591" s="20">
        <v>41059</v>
      </c>
      <c r="F591" s="1" t="s">
        <v>122</v>
      </c>
    </row>
    <row r="592" spans="1:6" x14ac:dyDescent="0.25">
      <c r="A592">
        <v>2291</v>
      </c>
      <c r="B592" t="s">
        <v>371</v>
      </c>
      <c r="C592" s="20">
        <v>41061</v>
      </c>
      <c r="E592" s="20">
        <v>41090</v>
      </c>
      <c r="F592" s="1" t="s">
        <v>122</v>
      </c>
    </row>
    <row r="593" spans="1:6" x14ac:dyDescent="0.25">
      <c r="A593">
        <v>2292</v>
      </c>
      <c r="B593" t="s">
        <v>664</v>
      </c>
      <c r="C593" s="20">
        <v>41091</v>
      </c>
      <c r="E593" s="20">
        <v>41182</v>
      </c>
      <c r="F593" s="1" t="s">
        <v>122</v>
      </c>
    </row>
    <row r="594" spans="1:6" x14ac:dyDescent="0.25">
      <c r="A594">
        <v>2293</v>
      </c>
      <c r="B594" t="s">
        <v>665</v>
      </c>
      <c r="C594" s="20">
        <v>41030</v>
      </c>
      <c r="E594" s="20">
        <v>41394</v>
      </c>
      <c r="F594" s="1" t="s">
        <v>122</v>
      </c>
    </row>
    <row r="595" spans="1:6" x14ac:dyDescent="0.25">
      <c r="A595">
        <v>2294</v>
      </c>
      <c r="B595" t="s">
        <v>666</v>
      </c>
      <c r="C595" s="20">
        <v>41030</v>
      </c>
      <c r="E595" s="20">
        <v>41394</v>
      </c>
      <c r="F595" s="1" t="s">
        <v>122</v>
      </c>
    </row>
    <row r="596" spans="1:6" x14ac:dyDescent="0.25">
      <c r="A596">
        <v>2295</v>
      </c>
      <c r="B596" t="s">
        <v>667</v>
      </c>
      <c r="C596" s="20">
        <v>41030</v>
      </c>
      <c r="E596" s="20">
        <v>41394</v>
      </c>
      <c r="F596" s="1" t="s">
        <v>122</v>
      </c>
    </row>
    <row r="597" spans="1:6" x14ac:dyDescent="0.25">
      <c r="A597">
        <v>2296</v>
      </c>
      <c r="B597" t="s">
        <v>668</v>
      </c>
      <c r="C597" s="20">
        <v>41030</v>
      </c>
      <c r="E597" s="20">
        <v>41394</v>
      </c>
      <c r="F597" s="1" t="s">
        <v>122</v>
      </c>
    </row>
    <row r="598" spans="1:6" x14ac:dyDescent="0.25">
      <c r="A598">
        <v>2297</v>
      </c>
      <c r="B598" t="s">
        <v>669</v>
      </c>
      <c r="C598" s="20">
        <v>41030</v>
      </c>
      <c r="E598" s="20">
        <v>41394</v>
      </c>
      <c r="F598" s="1" t="s">
        <v>122</v>
      </c>
    </row>
    <row r="599" spans="1:6" x14ac:dyDescent="0.25">
      <c r="A599">
        <v>2298</v>
      </c>
      <c r="B599" t="s">
        <v>670</v>
      </c>
      <c r="C599" s="20">
        <v>41030</v>
      </c>
      <c r="E599" s="20">
        <v>41394</v>
      </c>
      <c r="F599" s="1" t="s">
        <v>122</v>
      </c>
    </row>
    <row r="600" spans="1:6" x14ac:dyDescent="0.25">
      <c r="A600">
        <v>2299</v>
      </c>
      <c r="B600" t="s">
        <v>671</v>
      </c>
      <c r="C600" s="20">
        <v>41030</v>
      </c>
      <c r="E600" s="20">
        <v>41394</v>
      </c>
      <c r="F600" s="1" t="s">
        <v>122</v>
      </c>
    </row>
    <row r="601" spans="1:6" x14ac:dyDescent="0.25">
      <c r="A601">
        <v>2300</v>
      </c>
      <c r="B601" t="s">
        <v>672</v>
      </c>
      <c r="C601" s="20">
        <v>41030</v>
      </c>
      <c r="E601" s="20">
        <v>41394</v>
      </c>
      <c r="F601" s="1" t="s">
        <v>122</v>
      </c>
    </row>
    <row r="602" spans="1:6" x14ac:dyDescent="0.25">
      <c r="A602">
        <v>2301</v>
      </c>
      <c r="B602" t="s">
        <v>673</v>
      </c>
      <c r="C602" s="20">
        <v>41030</v>
      </c>
      <c r="E602" s="20">
        <v>41394</v>
      </c>
      <c r="F602" s="1" t="s">
        <v>122</v>
      </c>
    </row>
    <row r="603" spans="1:6" x14ac:dyDescent="0.25">
      <c r="A603">
        <v>2302</v>
      </c>
      <c r="B603" t="s">
        <v>674</v>
      </c>
      <c r="C603" s="20">
        <v>41030</v>
      </c>
      <c r="E603" s="20">
        <v>41394</v>
      </c>
      <c r="F603" s="1" t="s">
        <v>122</v>
      </c>
    </row>
    <row r="604" spans="1:6" x14ac:dyDescent="0.25">
      <c r="A604">
        <v>2303</v>
      </c>
      <c r="B604" t="s">
        <v>675</v>
      </c>
      <c r="C604" s="20">
        <v>41030</v>
      </c>
      <c r="E604" s="20">
        <v>41394</v>
      </c>
      <c r="F604" s="1" t="s">
        <v>122</v>
      </c>
    </row>
    <row r="605" spans="1:6" x14ac:dyDescent="0.25">
      <c r="A605">
        <v>2304</v>
      </c>
      <c r="B605" t="s">
        <v>676</v>
      </c>
      <c r="C605" s="20">
        <v>41030</v>
      </c>
      <c r="E605" s="20">
        <v>41394</v>
      </c>
      <c r="F605" s="1" t="s">
        <v>122</v>
      </c>
    </row>
    <row r="606" spans="1:6" x14ac:dyDescent="0.25">
      <c r="A606">
        <v>2305</v>
      </c>
      <c r="B606" t="s">
        <v>677</v>
      </c>
      <c r="C606" s="20">
        <v>41030</v>
      </c>
      <c r="E606" s="20">
        <v>41394</v>
      </c>
      <c r="F606" s="1" t="s">
        <v>122</v>
      </c>
    </row>
    <row r="607" spans="1:6" x14ac:dyDescent="0.25">
      <c r="A607">
        <v>2306</v>
      </c>
      <c r="B607" t="s">
        <v>678</v>
      </c>
      <c r="C607" s="20">
        <v>41030</v>
      </c>
      <c r="E607" s="20">
        <v>41394</v>
      </c>
      <c r="F607" s="1" t="s">
        <v>122</v>
      </c>
    </row>
    <row r="608" spans="1:6" x14ac:dyDescent="0.25">
      <c r="A608">
        <v>2307</v>
      </c>
      <c r="B608" t="s">
        <v>679</v>
      </c>
      <c r="C608" s="20">
        <v>41030</v>
      </c>
      <c r="E608" s="20">
        <v>41394</v>
      </c>
      <c r="F608" s="1" t="s">
        <v>122</v>
      </c>
    </row>
    <row r="609" spans="1:6" x14ac:dyDescent="0.25">
      <c r="A609">
        <v>2308</v>
      </c>
      <c r="B609" t="s">
        <v>680</v>
      </c>
      <c r="C609" s="20">
        <v>41030</v>
      </c>
      <c r="E609" s="20">
        <v>41394</v>
      </c>
      <c r="F609" s="1" t="s">
        <v>122</v>
      </c>
    </row>
    <row r="610" spans="1:6" x14ac:dyDescent="0.25">
      <c r="A610">
        <v>2309</v>
      </c>
      <c r="B610" t="s">
        <v>681</v>
      </c>
      <c r="C610" s="20">
        <v>41030</v>
      </c>
      <c r="E610" s="20">
        <v>41394</v>
      </c>
      <c r="F610" s="1" t="s">
        <v>122</v>
      </c>
    </row>
    <row r="611" spans="1:6" x14ac:dyDescent="0.25">
      <c r="A611">
        <v>2310</v>
      </c>
      <c r="B611" t="s">
        <v>682</v>
      </c>
      <c r="C611" s="20">
        <v>41030</v>
      </c>
      <c r="E611" s="20">
        <v>41394</v>
      </c>
      <c r="F611" s="1" t="s">
        <v>122</v>
      </c>
    </row>
    <row r="612" spans="1:6" x14ac:dyDescent="0.25">
      <c r="A612">
        <v>2311</v>
      </c>
      <c r="B612" t="s">
        <v>683</v>
      </c>
      <c r="C612" s="20">
        <v>41030</v>
      </c>
      <c r="E612" s="20">
        <v>41394</v>
      </c>
      <c r="F612" s="1" t="s">
        <v>122</v>
      </c>
    </row>
    <row r="613" spans="1:6" x14ac:dyDescent="0.25">
      <c r="A613">
        <v>2312</v>
      </c>
      <c r="B613" t="s">
        <v>684</v>
      </c>
      <c r="C613" s="20">
        <v>41030</v>
      </c>
      <c r="E613" s="20">
        <v>41394</v>
      </c>
      <c r="F613" s="1" t="s">
        <v>122</v>
      </c>
    </row>
    <row r="614" spans="1:6" x14ac:dyDescent="0.25">
      <c r="A614">
        <v>2313</v>
      </c>
      <c r="B614" t="s">
        <v>685</v>
      </c>
      <c r="C614" s="20">
        <v>41030</v>
      </c>
      <c r="E614" s="20">
        <v>41394</v>
      </c>
      <c r="F614" s="1" t="s">
        <v>122</v>
      </c>
    </row>
    <row r="615" spans="1:6" x14ac:dyDescent="0.25">
      <c r="A615">
        <v>2314</v>
      </c>
      <c r="B615" t="s">
        <v>686</v>
      </c>
      <c r="C615" s="20">
        <v>41030</v>
      </c>
      <c r="E615" s="20">
        <v>41394</v>
      </c>
      <c r="F615" s="1" t="s">
        <v>122</v>
      </c>
    </row>
    <row r="616" spans="1:6" x14ac:dyDescent="0.25">
      <c r="A616">
        <v>2315</v>
      </c>
      <c r="B616" t="s">
        <v>687</v>
      </c>
      <c r="C616" s="20">
        <v>41030</v>
      </c>
      <c r="E616" s="20">
        <v>41394</v>
      </c>
      <c r="F616" s="1" t="s">
        <v>122</v>
      </c>
    </row>
    <row r="617" spans="1:6" x14ac:dyDescent="0.25">
      <c r="A617">
        <v>2316</v>
      </c>
      <c r="B617" t="s">
        <v>688</v>
      </c>
      <c r="C617" s="20">
        <v>41030</v>
      </c>
      <c r="E617" s="20">
        <v>41394</v>
      </c>
      <c r="F617" s="1" t="s">
        <v>122</v>
      </c>
    </row>
    <row r="618" spans="1:6" x14ac:dyDescent="0.25">
      <c r="A618">
        <v>2317</v>
      </c>
      <c r="B618" t="s">
        <v>689</v>
      </c>
      <c r="C618" s="20">
        <v>41030</v>
      </c>
      <c r="E618" s="20">
        <v>41394</v>
      </c>
      <c r="F618" s="1" t="s">
        <v>122</v>
      </c>
    </row>
    <row r="619" spans="1:6" x14ac:dyDescent="0.25">
      <c r="A619">
        <v>2318</v>
      </c>
      <c r="B619" t="s">
        <v>690</v>
      </c>
      <c r="C619" s="20">
        <v>41105</v>
      </c>
      <c r="E619" s="20">
        <v>41213</v>
      </c>
      <c r="F619" s="1" t="s">
        <v>122</v>
      </c>
    </row>
    <row r="620" spans="1:6" x14ac:dyDescent="0.25">
      <c r="A620">
        <v>2319</v>
      </c>
      <c r="B620" t="s">
        <v>691</v>
      </c>
      <c r="C620" s="20">
        <v>41135</v>
      </c>
      <c r="E620" s="20">
        <v>41170</v>
      </c>
      <c r="F620" s="1" t="s">
        <v>122</v>
      </c>
    </row>
    <row r="621" spans="1:6" x14ac:dyDescent="0.25">
      <c r="A621">
        <v>2320</v>
      </c>
      <c r="B621" t="s">
        <v>692</v>
      </c>
      <c r="C621" s="20">
        <v>41142</v>
      </c>
      <c r="E621" s="20">
        <v>41455</v>
      </c>
      <c r="F621" s="1" t="s">
        <v>122</v>
      </c>
    </row>
    <row r="622" spans="1:6" x14ac:dyDescent="0.25">
      <c r="A622">
        <v>2321</v>
      </c>
      <c r="B622" t="s">
        <v>693</v>
      </c>
      <c r="C622" s="20">
        <v>41142</v>
      </c>
      <c r="E622" s="20">
        <v>41333</v>
      </c>
      <c r="F622" s="1" t="s">
        <v>122</v>
      </c>
    </row>
    <row r="623" spans="1:6" x14ac:dyDescent="0.25">
      <c r="A623">
        <v>2322</v>
      </c>
      <c r="B623" t="s">
        <v>694</v>
      </c>
      <c r="C623" s="20">
        <v>41145</v>
      </c>
      <c r="E623" s="20">
        <v>41417</v>
      </c>
      <c r="F623" s="1" t="s">
        <v>122</v>
      </c>
    </row>
    <row r="624" spans="1:6" x14ac:dyDescent="0.25">
      <c r="A624">
        <v>2323</v>
      </c>
      <c r="B624" t="s">
        <v>695</v>
      </c>
      <c r="C624" s="20">
        <v>41169</v>
      </c>
      <c r="E624" s="20">
        <v>41455</v>
      </c>
      <c r="F624" s="1" t="s">
        <v>122</v>
      </c>
    </row>
    <row r="625" spans="1:6" x14ac:dyDescent="0.25">
      <c r="A625">
        <v>2324</v>
      </c>
      <c r="B625" t="s">
        <v>696</v>
      </c>
      <c r="C625" s="20">
        <v>41169</v>
      </c>
      <c r="E625" s="20">
        <v>41455</v>
      </c>
      <c r="F625" s="1" t="s">
        <v>122</v>
      </c>
    </row>
    <row r="626" spans="1:6" x14ac:dyDescent="0.25">
      <c r="A626">
        <v>2325</v>
      </c>
      <c r="B626" t="s">
        <v>697</v>
      </c>
      <c r="C626" s="20">
        <v>41183</v>
      </c>
      <c r="E626" s="20">
        <v>41891</v>
      </c>
      <c r="F626" s="1" t="s">
        <v>122</v>
      </c>
    </row>
    <row r="627" spans="1:6" x14ac:dyDescent="0.25">
      <c r="A627">
        <v>2326</v>
      </c>
      <c r="B627" t="s">
        <v>83</v>
      </c>
      <c r="C627" s="20">
        <v>41183</v>
      </c>
      <c r="E627" s="20"/>
      <c r="F627" s="1" t="s">
        <v>137</v>
      </c>
    </row>
    <row r="628" spans="1:6" x14ac:dyDescent="0.25">
      <c r="A628">
        <v>2327</v>
      </c>
      <c r="B628" t="s">
        <v>698</v>
      </c>
      <c r="C628" s="20">
        <v>41183</v>
      </c>
      <c r="E628" s="20">
        <v>41639</v>
      </c>
      <c r="F628" s="1" t="s">
        <v>122</v>
      </c>
    </row>
    <row r="629" spans="1:6" x14ac:dyDescent="0.25">
      <c r="A629">
        <v>2328</v>
      </c>
      <c r="B629" t="s">
        <v>699</v>
      </c>
      <c r="C629" s="20">
        <v>41183</v>
      </c>
      <c r="E629" s="20">
        <v>41639</v>
      </c>
      <c r="F629" s="1" t="s">
        <v>122</v>
      </c>
    </row>
    <row r="630" spans="1:6" x14ac:dyDescent="0.25">
      <c r="A630">
        <v>2329</v>
      </c>
      <c r="B630" t="s">
        <v>700</v>
      </c>
      <c r="C630" s="20">
        <v>41242</v>
      </c>
      <c r="E630" s="20">
        <v>41639</v>
      </c>
      <c r="F630" s="1" t="s">
        <v>122</v>
      </c>
    </row>
    <row r="631" spans="1:6" x14ac:dyDescent="0.25">
      <c r="A631">
        <v>2330</v>
      </c>
      <c r="B631" t="s">
        <v>701</v>
      </c>
      <c r="C631" s="20">
        <v>41179</v>
      </c>
      <c r="E631" s="20">
        <v>41185</v>
      </c>
      <c r="F631" s="1" t="s">
        <v>122</v>
      </c>
    </row>
    <row r="632" spans="1:6" x14ac:dyDescent="0.25">
      <c r="A632">
        <v>2331</v>
      </c>
      <c r="B632" t="s">
        <v>702</v>
      </c>
      <c r="C632" s="20">
        <v>41242</v>
      </c>
      <c r="E632" s="20">
        <v>41274</v>
      </c>
      <c r="F632" s="1" t="s">
        <v>122</v>
      </c>
    </row>
    <row r="633" spans="1:6" x14ac:dyDescent="0.25">
      <c r="A633">
        <v>2332</v>
      </c>
      <c r="B633" t="s">
        <v>703</v>
      </c>
      <c r="C633" s="20">
        <v>41240</v>
      </c>
      <c r="E633" s="20">
        <v>41274</v>
      </c>
      <c r="F633" s="1" t="s">
        <v>122</v>
      </c>
    </row>
    <row r="634" spans="1:6" x14ac:dyDescent="0.25">
      <c r="A634">
        <v>2333</v>
      </c>
      <c r="B634" t="s">
        <v>704</v>
      </c>
      <c r="C634" s="20">
        <v>41242</v>
      </c>
      <c r="E634" s="20">
        <v>41274</v>
      </c>
      <c r="F634" s="1" t="s">
        <v>122</v>
      </c>
    </row>
    <row r="635" spans="1:6" x14ac:dyDescent="0.25">
      <c r="A635">
        <v>2334</v>
      </c>
      <c r="B635" t="s">
        <v>705</v>
      </c>
      <c r="C635" s="20">
        <v>41242</v>
      </c>
      <c r="E635" s="20">
        <v>41274</v>
      </c>
      <c r="F635" s="1" t="s">
        <v>122</v>
      </c>
    </row>
    <row r="636" spans="1:6" x14ac:dyDescent="0.25">
      <c r="A636">
        <v>2335</v>
      </c>
      <c r="B636" t="s">
        <v>706</v>
      </c>
      <c r="C636" s="20">
        <v>41246</v>
      </c>
      <c r="E636" s="20">
        <v>41274</v>
      </c>
      <c r="F636" s="1" t="s">
        <v>122</v>
      </c>
    </row>
    <row r="637" spans="1:6" x14ac:dyDescent="0.25">
      <c r="A637">
        <v>2336</v>
      </c>
      <c r="B637" t="s">
        <v>707</v>
      </c>
      <c r="C637" s="20">
        <v>41246</v>
      </c>
      <c r="E637" s="20">
        <v>41274</v>
      </c>
      <c r="F637" s="1" t="s">
        <v>122</v>
      </c>
    </row>
    <row r="638" spans="1:6" x14ac:dyDescent="0.25">
      <c r="A638">
        <v>2337</v>
      </c>
      <c r="B638" t="s">
        <v>708</v>
      </c>
      <c r="C638" s="20">
        <v>41247</v>
      </c>
      <c r="E638" s="20"/>
      <c r="F638" s="1" t="s">
        <v>137</v>
      </c>
    </row>
    <row r="639" spans="1:6" x14ac:dyDescent="0.25">
      <c r="A639">
        <v>2338</v>
      </c>
      <c r="B639" t="s">
        <v>709</v>
      </c>
      <c r="C639" s="20">
        <v>41247</v>
      </c>
      <c r="E639" s="20">
        <v>41394</v>
      </c>
      <c r="F639" s="1" t="s">
        <v>122</v>
      </c>
    </row>
    <row r="640" spans="1:6" x14ac:dyDescent="0.25">
      <c r="A640">
        <v>2339</v>
      </c>
      <c r="B640" t="s">
        <v>710</v>
      </c>
      <c r="C640" s="20">
        <v>41276</v>
      </c>
      <c r="E640" s="20">
        <v>41425</v>
      </c>
      <c r="F640" s="1" t="s">
        <v>122</v>
      </c>
    </row>
    <row r="641" spans="1:6" x14ac:dyDescent="0.25">
      <c r="A641">
        <v>2340</v>
      </c>
      <c r="B641" t="s">
        <v>711</v>
      </c>
      <c r="C641" s="20">
        <v>41276</v>
      </c>
      <c r="E641" s="20">
        <v>41425</v>
      </c>
      <c r="F641" s="1" t="s">
        <v>122</v>
      </c>
    </row>
    <row r="642" spans="1:6" x14ac:dyDescent="0.25">
      <c r="A642">
        <v>2341</v>
      </c>
      <c r="B642" t="s">
        <v>712</v>
      </c>
      <c r="C642" s="20">
        <v>41277</v>
      </c>
      <c r="E642" s="20">
        <v>41425</v>
      </c>
      <c r="F642" s="1" t="s">
        <v>122</v>
      </c>
    </row>
    <row r="643" spans="1:6" x14ac:dyDescent="0.25">
      <c r="A643">
        <v>2342</v>
      </c>
      <c r="B643" t="s">
        <v>713</v>
      </c>
      <c r="C643" s="20">
        <v>41283</v>
      </c>
      <c r="E643" s="20">
        <v>41364</v>
      </c>
      <c r="F643" s="1" t="s">
        <v>122</v>
      </c>
    </row>
    <row r="644" spans="1:6" x14ac:dyDescent="0.25">
      <c r="A644">
        <v>2343</v>
      </c>
      <c r="B644" t="s">
        <v>714</v>
      </c>
      <c r="C644" s="20">
        <v>41283</v>
      </c>
      <c r="E644" s="20">
        <v>41364</v>
      </c>
      <c r="F644" s="1" t="s">
        <v>122</v>
      </c>
    </row>
    <row r="645" spans="1:6" x14ac:dyDescent="0.25">
      <c r="A645">
        <v>2344</v>
      </c>
      <c r="B645" t="s">
        <v>715</v>
      </c>
      <c r="C645" s="20">
        <v>41304</v>
      </c>
      <c r="E645" s="20">
        <v>41320</v>
      </c>
      <c r="F645" s="1" t="s">
        <v>122</v>
      </c>
    </row>
    <row r="646" spans="1:6" x14ac:dyDescent="0.25">
      <c r="A646">
        <v>2345</v>
      </c>
      <c r="B646" t="s">
        <v>716</v>
      </c>
      <c r="C646" s="20">
        <v>41306</v>
      </c>
      <c r="E646" s="20">
        <v>41333</v>
      </c>
      <c r="F646" s="1" t="s">
        <v>122</v>
      </c>
    </row>
    <row r="647" spans="1:6" x14ac:dyDescent="0.25">
      <c r="A647">
        <v>2346</v>
      </c>
      <c r="B647" t="s">
        <v>717</v>
      </c>
      <c r="C647" s="20">
        <v>41306</v>
      </c>
      <c r="E647" s="20">
        <v>41379</v>
      </c>
      <c r="F647" s="1" t="s">
        <v>122</v>
      </c>
    </row>
    <row r="648" spans="1:6" x14ac:dyDescent="0.25">
      <c r="A648">
        <v>2347</v>
      </c>
      <c r="B648" t="s">
        <v>7</v>
      </c>
      <c r="C648" s="20">
        <v>41306</v>
      </c>
      <c r="E648" s="20">
        <v>41379</v>
      </c>
      <c r="F648" s="1" t="s">
        <v>122</v>
      </c>
    </row>
    <row r="649" spans="1:6" x14ac:dyDescent="0.25">
      <c r="A649">
        <v>2348</v>
      </c>
      <c r="B649" t="s">
        <v>718</v>
      </c>
      <c r="C649" s="20">
        <v>41306</v>
      </c>
      <c r="E649" s="20">
        <v>41455</v>
      </c>
      <c r="F649" s="1" t="s">
        <v>122</v>
      </c>
    </row>
    <row r="650" spans="1:6" x14ac:dyDescent="0.25">
      <c r="A650">
        <v>2349</v>
      </c>
      <c r="B650" t="s">
        <v>719</v>
      </c>
      <c r="C650" s="20">
        <v>41341</v>
      </c>
      <c r="E650" s="20">
        <v>41455</v>
      </c>
      <c r="F650" s="1" t="s">
        <v>122</v>
      </c>
    </row>
    <row r="651" spans="1:6" x14ac:dyDescent="0.25">
      <c r="A651">
        <v>2350</v>
      </c>
      <c r="B651" t="s">
        <v>720</v>
      </c>
      <c r="C651" s="20">
        <v>41341</v>
      </c>
      <c r="E651" s="20">
        <v>41455</v>
      </c>
      <c r="F651" s="1" t="s">
        <v>122</v>
      </c>
    </row>
    <row r="652" spans="1:6" x14ac:dyDescent="0.25">
      <c r="A652">
        <v>2351</v>
      </c>
      <c r="B652" t="s">
        <v>721</v>
      </c>
      <c r="C652" s="20">
        <v>41348</v>
      </c>
      <c r="E652" s="20">
        <v>41394</v>
      </c>
      <c r="F652" s="1" t="s">
        <v>122</v>
      </c>
    </row>
    <row r="653" spans="1:6" x14ac:dyDescent="0.25">
      <c r="A653">
        <v>2352</v>
      </c>
      <c r="B653" t="s">
        <v>722</v>
      </c>
      <c r="C653" s="20">
        <v>41244</v>
      </c>
      <c r="E653" s="20">
        <v>41273</v>
      </c>
      <c r="F653" s="1" t="s">
        <v>122</v>
      </c>
    </row>
    <row r="654" spans="1:6" x14ac:dyDescent="0.25">
      <c r="A654">
        <v>2353</v>
      </c>
      <c r="B654" t="s">
        <v>723</v>
      </c>
      <c r="C654" s="20">
        <v>41375</v>
      </c>
      <c r="E654" s="20">
        <v>41547</v>
      </c>
      <c r="F654" s="1" t="s">
        <v>122</v>
      </c>
    </row>
    <row r="655" spans="1:6" x14ac:dyDescent="0.25">
      <c r="A655">
        <v>2354</v>
      </c>
      <c r="B655" t="s">
        <v>724</v>
      </c>
      <c r="C655" s="20">
        <v>41418</v>
      </c>
      <c r="E655" s="20">
        <v>41547</v>
      </c>
      <c r="F655" s="1" t="s">
        <v>122</v>
      </c>
    </row>
    <row r="656" spans="1:6" x14ac:dyDescent="0.25">
      <c r="A656">
        <v>2355</v>
      </c>
      <c r="B656" t="s">
        <v>725</v>
      </c>
      <c r="C656" s="20">
        <v>41061</v>
      </c>
      <c r="E656" s="20">
        <v>41214</v>
      </c>
      <c r="F656" s="1" t="s">
        <v>122</v>
      </c>
    </row>
    <row r="657" spans="1:6" x14ac:dyDescent="0.25">
      <c r="A657">
        <v>2356</v>
      </c>
      <c r="B657" t="s">
        <v>726</v>
      </c>
      <c r="C657" s="20">
        <v>41428</v>
      </c>
      <c r="E657" s="20">
        <v>41547</v>
      </c>
      <c r="F657" s="1" t="s">
        <v>122</v>
      </c>
    </row>
    <row r="658" spans="1:6" x14ac:dyDescent="0.25">
      <c r="A658">
        <v>2357</v>
      </c>
      <c r="B658" t="s">
        <v>727</v>
      </c>
      <c r="C658" s="20">
        <v>41428</v>
      </c>
      <c r="E658" s="20">
        <v>41428</v>
      </c>
      <c r="F658" s="1" t="s">
        <v>122</v>
      </c>
    </row>
    <row r="659" spans="1:6" x14ac:dyDescent="0.25">
      <c r="A659">
        <v>2358</v>
      </c>
      <c r="B659" t="s">
        <v>728</v>
      </c>
      <c r="C659" s="20">
        <v>41428</v>
      </c>
      <c r="E659" s="20">
        <v>41516</v>
      </c>
      <c r="F659" s="1" t="s">
        <v>122</v>
      </c>
    </row>
    <row r="660" spans="1:6" x14ac:dyDescent="0.25">
      <c r="A660">
        <v>2359</v>
      </c>
      <c r="B660" t="s">
        <v>729</v>
      </c>
      <c r="C660" s="20">
        <v>41428</v>
      </c>
      <c r="E660" s="20">
        <v>41486</v>
      </c>
      <c r="F660" s="1" t="s">
        <v>122</v>
      </c>
    </row>
    <row r="661" spans="1:6" x14ac:dyDescent="0.25">
      <c r="A661">
        <v>2360</v>
      </c>
      <c r="B661" t="s">
        <v>730</v>
      </c>
      <c r="C661" s="20">
        <v>41435</v>
      </c>
      <c r="E661" s="20">
        <v>41486</v>
      </c>
      <c r="F661" s="1" t="s">
        <v>122</v>
      </c>
    </row>
    <row r="662" spans="1:6" x14ac:dyDescent="0.25">
      <c r="A662">
        <v>2361</v>
      </c>
      <c r="B662" t="s">
        <v>731</v>
      </c>
      <c r="C662" s="20">
        <v>41435</v>
      </c>
      <c r="E662" s="20">
        <v>41486</v>
      </c>
      <c r="F662" s="1" t="s">
        <v>122</v>
      </c>
    </row>
    <row r="663" spans="1:6" x14ac:dyDescent="0.25">
      <c r="A663">
        <v>2362</v>
      </c>
      <c r="B663" t="s">
        <v>732</v>
      </c>
      <c r="C663" s="20">
        <v>41442</v>
      </c>
      <c r="E663" s="20">
        <v>41486</v>
      </c>
      <c r="F663" s="1" t="s">
        <v>122</v>
      </c>
    </row>
    <row r="664" spans="1:6" x14ac:dyDescent="0.25">
      <c r="A664">
        <v>2363</v>
      </c>
      <c r="B664" t="s">
        <v>733</v>
      </c>
      <c r="C664" s="20">
        <v>41443</v>
      </c>
      <c r="E664" s="20">
        <v>41470</v>
      </c>
      <c r="F664" s="1" t="s">
        <v>122</v>
      </c>
    </row>
    <row r="665" spans="1:6" x14ac:dyDescent="0.25">
      <c r="A665">
        <v>2364</v>
      </c>
      <c r="B665" t="s">
        <v>734</v>
      </c>
      <c r="C665" s="20">
        <v>41450</v>
      </c>
      <c r="E665" s="20">
        <v>42004</v>
      </c>
      <c r="F665" s="1" t="s">
        <v>122</v>
      </c>
    </row>
    <row r="666" spans="1:6" x14ac:dyDescent="0.25">
      <c r="A666">
        <v>2365</v>
      </c>
      <c r="B666" t="s">
        <v>718</v>
      </c>
      <c r="C666" s="20">
        <v>41456</v>
      </c>
      <c r="E666" s="20">
        <v>41639</v>
      </c>
      <c r="F666" s="1" t="s">
        <v>122</v>
      </c>
    </row>
    <row r="667" spans="1:6" x14ac:dyDescent="0.25">
      <c r="A667">
        <v>2366</v>
      </c>
      <c r="B667" t="s">
        <v>735</v>
      </c>
      <c r="C667" s="20">
        <v>41456</v>
      </c>
      <c r="E667" s="20">
        <v>41537</v>
      </c>
      <c r="F667" s="1" t="s">
        <v>122</v>
      </c>
    </row>
    <row r="668" spans="1:6" x14ac:dyDescent="0.25">
      <c r="A668">
        <v>2367</v>
      </c>
      <c r="B668" t="s">
        <v>736</v>
      </c>
      <c r="C668" s="20">
        <v>41472</v>
      </c>
      <c r="E668" s="20">
        <v>41578</v>
      </c>
      <c r="F668" s="1" t="s">
        <v>122</v>
      </c>
    </row>
    <row r="669" spans="1:6" x14ac:dyDescent="0.25">
      <c r="A669">
        <v>2368</v>
      </c>
      <c r="B669" t="s">
        <v>737</v>
      </c>
      <c r="C669" s="20">
        <v>41526</v>
      </c>
      <c r="E669" s="20">
        <v>41526</v>
      </c>
      <c r="F669" s="1" t="s">
        <v>122</v>
      </c>
    </row>
    <row r="670" spans="1:6" x14ac:dyDescent="0.25">
      <c r="A670">
        <v>2369</v>
      </c>
      <c r="B670" t="s">
        <v>738</v>
      </c>
      <c r="C670" s="20">
        <v>41498</v>
      </c>
      <c r="E670" s="20">
        <v>41547</v>
      </c>
      <c r="F670" s="1" t="s">
        <v>122</v>
      </c>
    </row>
    <row r="671" spans="1:6" x14ac:dyDescent="0.25">
      <c r="A671">
        <v>2370</v>
      </c>
      <c r="B671" t="s">
        <v>739</v>
      </c>
      <c r="C671" s="20">
        <v>41500</v>
      </c>
      <c r="E671" s="20">
        <v>41520</v>
      </c>
      <c r="F671" s="1" t="s">
        <v>122</v>
      </c>
    </row>
    <row r="672" spans="1:6" x14ac:dyDescent="0.25">
      <c r="A672">
        <v>2371</v>
      </c>
      <c r="B672" t="s">
        <v>740</v>
      </c>
      <c r="C672" s="20">
        <v>41516</v>
      </c>
      <c r="E672" s="20">
        <v>41548</v>
      </c>
      <c r="F672" s="1" t="s">
        <v>122</v>
      </c>
    </row>
    <row r="673" spans="1:6" x14ac:dyDescent="0.25">
      <c r="A673">
        <v>2372</v>
      </c>
      <c r="B673" t="s">
        <v>741</v>
      </c>
      <c r="C673" s="20">
        <v>41518</v>
      </c>
      <c r="E673" s="20">
        <v>41547</v>
      </c>
      <c r="F673" s="1" t="s">
        <v>122</v>
      </c>
    </row>
    <row r="674" spans="1:6" x14ac:dyDescent="0.25">
      <c r="A674">
        <v>2373</v>
      </c>
      <c r="B674" t="s">
        <v>742</v>
      </c>
      <c r="C674" s="20">
        <v>41518</v>
      </c>
      <c r="E674" s="20">
        <v>41759</v>
      </c>
      <c r="F674" s="1" t="s">
        <v>122</v>
      </c>
    </row>
    <row r="675" spans="1:6" x14ac:dyDescent="0.25">
      <c r="A675">
        <v>2374</v>
      </c>
      <c r="B675" t="s">
        <v>743</v>
      </c>
      <c r="C675" s="20">
        <v>41548</v>
      </c>
      <c r="E675" s="20">
        <v>41639</v>
      </c>
      <c r="F675" s="1" t="s">
        <v>122</v>
      </c>
    </row>
    <row r="676" spans="1:6" x14ac:dyDescent="0.25">
      <c r="A676">
        <v>2375</v>
      </c>
      <c r="B676" t="s">
        <v>744</v>
      </c>
      <c r="C676" s="20">
        <v>41548</v>
      </c>
      <c r="E676" s="20">
        <v>41639</v>
      </c>
      <c r="F676" s="1" t="s">
        <v>122</v>
      </c>
    </row>
    <row r="677" spans="1:6" x14ac:dyDescent="0.25">
      <c r="A677">
        <v>2376</v>
      </c>
      <c r="B677" t="s">
        <v>745</v>
      </c>
      <c r="C677" s="20">
        <v>41548</v>
      </c>
      <c r="E677" s="20">
        <v>41593</v>
      </c>
      <c r="F677" s="1" t="s">
        <v>122</v>
      </c>
    </row>
    <row r="678" spans="1:6" x14ac:dyDescent="0.25">
      <c r="A678">
        <v>2377</v>
      </c>
      <c r="B678" t="s">
        <v>746</v>
      </c>
      <c r="C678" s="20">
        <v>41548</v>
      </c>
      <c r="E678" s="20">
        <v>41851</v>
      </c>
      <c r="F678" s="1" t="s">
        <v>122</v>
      </c>
    </row>
    <row r="679" spans="1:6" x14ac:dyDescent="0.25">
      <c r="A679">
        <v>2378</v>
      </c>
      <c r="B679" t="s">
        <v>747</v>
      </c>
      <c r="C679" s="20">
        <v>41548</v>
      </c>
      <c r="E679" s="20">
        <v>41851</v>
      </c>
      <c r="F679" s="1" t="s">
        <v>122</v>
      </c>
    </row>
    <row r="680" spans="1:6" x14ac:dyDescent="0.25">
      <c r="A680">
        <v>2379</v>
      </c>
      <c r="B680" t="s">
        <v>748</v>
      </c>
      <c r="C680" s="20">
        <v>41548</v>
      </c>
      <c r="D680" s="20">
        <v>41989</v>
      </c>
      <c r="E680" s="20">
        <v>41851</v>
      </c>
      <c r="F680" s="1" t="s">
        <v>122</v>
      </c>
    </row>
    <row r="681" spans="1:6" x14ac:dyDescent="0.25">
      <c r="A681">
        <v>2380</v>
      </c>
      <c r="B681" t="s">
        <v>749</v>
      </c>
      <c r="C681" s="20">
        <v>41548</v>
      </c>
      <c r="E681" s="20">
        <v>41851</v>
      </c>
      <c r="F681" s="1" t="s">
        <v>122</v>
      </c>
    </row>
    <row r="682" spans="1:6" x14ac:dyDescent="0.25">
      <c r="A682">
        <v>2381</v>
      </c>
      <c r="B682" t="s">
        <v>750</v>
      </c>
      <c r="C682" s="20">
        <v>41548</v>
      </c>
      <c r="E682" s="20">
        <v>41851</v>
      </c>
      <c r="F682" s="1" t="s">
        <v>122</v>
      </c>
    </row>
    <row r="683" spans="1:6" x14ac:dyDescent="0.25">
      <c r="A683">
        <v>2382</v>
      </c>
      <c r="B683" t="s">
        <v>751</v>
      </c>
      <c r="C683" s="20">
        <v>41548</v>
      </c>
      <c r="E683" s="20">
        <v>41851</v>
      </c>
      <c r="F683" s="1" t="s">
        <v>122</v>
      </c>
    </row>
    <row r="684" spans="1:6" x14ac:dyDescent="0.25">
      <c r="A684">
        <v>2383</v>
      </c>
      <c r="B684" t="s">
        <v>752</v>
      </c>
      <c r="C684" s="20">
        <v>41548</v>
      </c>
      <c r="E684" s="20">
        <v>41851</v>
      </c>
      <c r="F684" s="1" t="s">
        <v>122</v>
      </c>
    </row>
    <row r="685" spans="1:6" x14ac:dyDescent="0.25">
      <c r="A685">
        <v>2384</v>
      </c>
      <c r="B685" t="s">
        <v>753</v>
      </c>
      <c r="C685" s="20">
        <v>41548</v>
      </c>
      <c r="E685" s="20">
        <v>41851</v>
      </c>
      <c r="F685" s="1" t="s">
        <v>122</v>
      </c>
    </row>
    <row r="686" spans="1:6" x14ac:dyDescent="0.25">
      <c r="A686">
        <v>2385</v>
      </c>
      <c r="B686" t="s">
        <v>754</v>
      </c>
      <c r="C686" s="20">
        <v>41548</v>
      </c>
      <c r="E686" s="20">
        <v>41851</v>
      </c>
      <c r="F686" s="1" t="s">
        <v>122</v>
      </c>
    </row>
    <row r="687" spans="1:6" x14ac:dyDescent="0.25">
      <c r="A687">
        <v>2386</v>
      </c>
      <c r="B687" t="s">
        <v>755</v>
      </c>
      <c r="C687" s="20">
        <v>41548</v>
      </c>
      <c r="E687" s="20">
        <v>41851</v>
      </c>
      <c r="F687" s="1" t="s">
        <v>122</v>
      </c>
    </row>
    <row r="688" spans="1:6" x14ac:dyDescent="0.25">
      <c r="A688">
        <v>2387</v>
      </c>
      <c r="B688" t="s">
        <v>756</v>
      </c>
      <c r="C688" s="20">
        <v>41563</v>
      </c>
      <c r="E688" s="20">
        <v>41608</v>
      </c>
      <c r="F688" s="1" t="s">
        <v>122</v>
      </c>
    </row>
    <row r="689" spans="1:6" x14ac:dyDescent="0.25">
      <c r="A689">
        <v>2388</v>
      </c>
      <c r="B689" t="s">
        <v>757</v>
      </c>
      <c r="C689" s="20">
        <v>41563</v>
      </c>
      <c r="E689" s="20">
        <v>41712</v>
      </c>
      <c r="F689" s="1" t="s">
        <v>122</v>
      </c>
    </row>
    <row r="690" spans="1:6" x14ac:dyDescent="0.25">
      <c r="A690">
        <v>2389</v>
      </c>
      <c r="B690" t="s">
        <v>758</v>
      </c>
      <c r="C690" s="20">
        <v>41576</v>
      </c>
      <c r="E690" s="20">
        <v>41608</v>
      </c>
      <c r="F690" s="1" t="s">
        <v>122</v>
      </c>
    </row>
    <row r="691" spans="1:6" x14ac:dyDescent="0.25">
      <c r="A691">
        <v>2390</v>
      </c>
      <c r="B691" t="s">
        <v>72</v>
      </c>
      <c r="C691" s="20">
        <v>41597</v>
      </c>
      <c r="E691" s="20">
        <v>41628</v>
      </c>
      <c r="F691" s="1" t="s">
        <v>122</v>
      </c>
    </row>
    <row r="692" spans="1:6" x14ac:dyDescent="0.25">
      <c r="A692">
        <v>2391</v>
      </c>
      <c r="B692" t="s">
        <v>759</v>
      </c>
      <c r="C692" s="20">
        <v>41618</v>
      </c>
      <c r="E692" s="20">
        <v>41698</v>
      </c>
      <c r="F692" s="1" t="s">
        <v>122</v>
      </c>
    </row>
    <row r="693" spans="1:6" x14ac:dyDescent="0.25">
      <c r="A693">
        <v>2392</v>
      </c>
      <c r="B693" t="s">
        <v>760</v>
      </c>
      <c r="C693" s="20">
        <v>41618</v>
      </c>
      <c r="E693" s="20">
        <v>41713</v>
      </c>
      <c r="F693" s="1" t="s">
        <v>122</v>
      </c>
    </row>
    <row r="694" spans="1:6" x14ac:dyDescent="0.25">
      <c r="A694">
        <v>2393</v>
      </c>
      <c r="B694" t="s">
        <v>761</v>
      </c>
      <c r="C694" s="20">
        <v>41640</v>
      </c>
      <c r="E694" s="20">
        <v>41820</v>
      </c>
      <c r="F694" s="1" t="s">
        <v>122</v>
      </c>
    </row>
    <row r="695" spans="1:6" x14ac:dyDescent="0.25">
      <c r="A695">
        <v>2394</v>
      </c>
      <c r="B695" t="s">
        <v>762</v>
      </c>
      <c r="C695" s="20">
        <v>41648</v>
      </c>
      <c r="E695" s="20">
        <v>41683</v>
      </c>
      <c r="F695" s="1" t="s">
        <v>122</v>
      </c>
    </row>
    <row r="696" spans="1:6" x14ac:dyDescent="0.25">
      <c r="A696">
        <v>2395</v>
      </c>
      <c r="B696" t="s">
        <v>763</v>
      </c>
      <c r="C696" s="20">
        <v>41724</v>
      </c>
      <c r="E696" s="20">
        <v>41880</v>
      </c>
      <c r="F696" s="1" t="s">
        <v>122</v>
      </c>
    </row>
    <row r="697" spans="1:6" x14ac:dyDescent="0.25">
      <c r="A697">
        <v>2396</v>
      </c>
      <c r="B697" t="s">
        <v>764</v>
      </c>
      <c r="C697" s="20">
        <v>41739</v>
      </c>
      <c r="E697" s="20">
        <v>41772</v>
      </c>
      <c r="F697" s="1" t="s">
        <v>122</v>
      </c>
    </row>
    <row r="698" spans="1:6" x14ac:dyDescent="0.25">
      <c r="A698">
        <v>2397</v>
      </c>
      <c r="B698" t="s">
        <v>765</v>
      </c>
      <c r="C698" s="20">
        <v>41768</v>
      </c>
      <c r="E698" s="20">
        <v>42185</v>
      </c>
      <c r="F698" s="1" t="s">
        <v>122</v>
      </c>
    </row>
    <row r="699" spans="1:6" x14ac:dyDescent="0.25">
      <c r="A699">
        <v>2398</v>
      </c>
      <c r="B699" t="s">
        <v>766</v>
      </c>
      <c r="C699" s="20">
        <v>41123</v>
      </c>
      <c r="E699" s="20">
        <v>41184</v>
      </c>
      <c r="F699" s="1" t="s">
        <v>122</v>
      </c>
    </row>
    <row r="700" spans="1:6" x14ac:dyDescent="0.25">
      <c r="A700">
        <v>2399</v>
      </c>
      <c r="B700" t="s">
        <v>767</v>
      </c>
      <c r="C700" s="20">
        <v>41663</v>
      </c>
      <c r="E700" s="20">
        <v>41698</v>
      </c>
      <c r="F700" s="1" t="s">
        <v>122</v>
      </c>
    </row>
    <row r="701" spans="1:6" x14ac:dyDescent="0.25">
      <c r="A701">
        <v>2400</v>
      </c>
      <c r="B701" t="s">
        <v>768</v>
      </c>
      <c r="C701" s="20">
        <v>41751</v>
      </c>
      <c r="E701" s="20">
        <v>41897</v>
      </c>
      <c r="F701" s="1" t="s">
        <v>122</v>
      </c>
    </row>
    <row r="702" spans="1:6" x14ac:dyDescent="0.25">
      <c r="A702">
        <v>2401</v>
      </c>
      <c r="B702" t="s">
        <v>769</v>
      </c>
      <c r="C702" s="20">
        <v>41548</v>
      </c>
      <c r="E702" s="20">
        <v>41558</v>
      </c>
      <c r="F702" s="1" t="s">
        <v>122</v>
      </c>
    </row>
    <row r="703" spans="1:6" x14ac:dyDescent="0.25">
      <c r="A703">
        <v>2402</v>
      </c>
      <c r="B703" t="s">
        <v>770</v>
      </c>
      <c r="C703" s="20">
        <v>41564</v>
      </c>
      <c r="E703" s="20">
        <v>41639</v>
      </c>
      <c r="F703" s="1" t="s">
        <v>122</v>
      </c>
    </row>
    <row r="704" spans="1:6" x14ac:dyDescent="0.25">
      <c r="A704">
        <v>2403</v>
      </c>
      <c r="B704" t="s">
        <v>771</v>
      </c>
      <c r="C704" s="20">
        <v>41796</v>
      </c>
      <c r="E704" s="20">
        <v>41796</v>
      </c>
      <c r="F704" s="1" t="s">
        <v>122</v>
      </c>
    </row>
    <row r="705" spans="1:6" x14ac:dyDescent="0.25">
      <c r="A705">
        <v>2404</v>
      </c>
      <c r="B705" t="s">
        <v>772</v>
      </c>
      <c r="C705" s="20">
        <v>41801</v>
      </c>
      <c r="E705" s="20">
        <v>41801</v>
      </c>
      <c r="F705" s="1" t="s">
        <v>122</v>
      </c>
    </row>
    <row r="706" spans="1:6" x14ac:dyDescent="0.25">
      <c r="A706">
        <v>2405</v>
      </c>
      <c r="B706" t="s">
        <v>773</v>
      </c>
      <c r="C706" s="20">
        <v>41821</v>
      </c>
      <c r="E706" s="20">
        <v>42004</v>
      </c>
      <c r="F706" s="1" t="s">
        <v>122</v>
      </c>
    </row>
    <row r="707" spans="1:6" x14ac:dyDescent="0.25">
      <c r="A707">
        <v>2406</v>
      </c>
      <c r="B707" t="s">
        <v>774</v>
      </c>
      <c r="C707" s="20">
        <v>41848</v>
      </c>
      <c r="E707" s="20">
        <v>41943</v>
      </c>
      <c r="F707" s="1" t="s">
        <v>122</v>
      </c>
    </row>
    <row r="708" spans="1:6" x14ac:dyDescent="0.25">
      <c r="A708">
        <v>2407</v>
      </c>
      <c r="B708" t="s">
        <v>775</v>
      </c>
      <c r="C708" s="20">
        <v>41821</v>
      </c>
      <c r="E708" s="20">
        <v>42004</v>
      </c>
      <c r="F708" s="1" t="s">
        <v>122</v>
      </c>
    </row>
    <row r="709" spans="1:6" x14ac:dyDescent="0.25">
      <c r="A709">
        <v>2408</v>
      </c>
      <c r="B709" t="s">
        <v>25</v>
      </c>
      <c r="C709" s="20">
        <v>41844</v>
      </c>
      <c r="E709" s="20">
        <v>42004</v>
      </c>
      <c r="F709" s="1" t="s">
        <v>122</v>
      </c>
    </row>
    <row r="710" spans="1:6" x14ac:dyDescent="0.25">
      <c r="A710">
        <v>2409</v>
      </c>
      <c r="B710" t="s">
        <v>776</v>
      </c>
      <c r="C710" s="20">
        <v>41852</v>
      </c>
      <c r="E710" s="20">
        <v>41912</v>
      </c>
      <c r="F710" s="1" t="s">
        <v>122</v>
      </c>
    </row>
    <row r="711" spans="1:6" x14ac:dyDescent="0.25">
      <c r="A711">
        <v>2410</v>
      </c>
      <c r="B711" t="s">
        <v>777</v>
      </c>
      <c r="C711" s="20">
        <v>41855</v>
      </c>
      <c r="E711" s="20">
        <v>41862</v>
      </c>
      <c r="F711" s="1" t="s">
        <v>122</v>
      </c>
    </row>
    <row r="712" spans="1:6" x14ac:dyDescent="0.25">
      <c r="A712">
        <v>2411</v>
      </c>
      <c r="B712" t="s">
        <v>778</v>
      </c>
      <c r="C712" s="20">
        <v>41864</v>
      </c>
      <c r="E712" s="20">
        <v>41912</v>
      </c>
      <c r="F712" s="1" t="s">
        <v>122</v>
      </c>
    </row>
    <row r="713" spans="1:6" x14ac:dyDescent="0.25">
      <c r="A713">
        <v>2412</v>
      </c>
      <c r="B713" t="s">
        <v>779</v>
      </c>
      <c r="C713" s="20">
        <v>41871</v>
      </c>
      <c r="E713" s="20">
        <v>41880</v>
      </c>
      <c r="F713" s="1" t="s">
        <v>122</v>
      </c>
    </row>
    <row r="714" spans="1:6" x14ac:dyDescent="0.25">
      <c r="A714">
        <v>2413</v>
      </c>
      <c r="B714" t="s">
        <v>780</v>
      </c>
      <c r="C714" s="20">
        <v>41871</v>
      </c>
      <c r="E714" s="20">
        <v>41943</v>
      </c>
      <c r="F714" s="1" t="s">
        <v>122</v>
      </c>
    </row>
    <row r="715" spans="1:6" x14ac:dyDescent="0.25">
      <c r="A715">
        <v>2414</v>
      </c>
      <c r="B715" t="s">
        <v>781</v>
      </c>
      <c r="C715" s="20">
        <v>41884</v>
      </c>
      <c r="E715" s="20">
        <v>42185</v>
      </c>
      <c r="F715" s="1" t="s">
        <v>122</v>
      </c>
    </row>
    <row r="716" spans="1:6" x14ac:dyDescent="0.25">
      <c r="A716">
        <v>2415</v>
      </c>
      <c r="B716" t="s">
        <v>782</v>
      </c>
      <c r="C716" s="20">
        <v>41900</v>
      </c>
      <c r="E716" s="20">
        <v>41913</v>
      </c>
      <c r="F716" s="1" t="s">
        <v>122</v>
      </c>
    </row>
    <row r="717" spans="1:6" x14ac:dyDescent="0.25">
      <c r="A717">
        <v>2416</v>
      </c>
      <c r="B717" t="s">
        <v>783</v>
      </c>
      <c r="C717" s="20">
        <v>41929</v>
      </c>
      <c r="E717" s="20">
        <v>41929</v>
      </c>
      <c r="F717" s="1" t="s">
        <v>122</v>
      </c>
    </row>
    <row r="718" spans="1:6" x14ac:dyDescent="0.25">
      <c r="A718">
        <v>2417</v>
      </c>
      <c r="B718" t="s">
        <v>57</v>
      </c>
      <c r="C718" s="20">
        <v>41912</v>
      </c>
      <c r="E718" s="20">
        <v>42185</v>
      </c>
      <c r="F718" s="1" t="s">
        <v>122</v>
      </c>
    </row>
    <row r="719" spans="1:6" x14ac:dyDescent="0.25">
      <c r="A719">
        <v>2418</v>
      </c>
      <c r="B719" t="s">
        <v>784</v>
      </c>
      <c r="C719" s="20">
        <v>41913</v>
      </c>
      <c r="E719" s="20">
        <v>42004</v>
      </c>
      <c r="F719" s="1" t="s">
        <v>122</v>
      </c>
    </row>
    <row r="720" spans="1:6" x14ac:dyDescent="0.25">
      <c r="A720">
        <v>2419</v>
      </c>
      <c r="B720" t="s">
        <v>785</v>
      </c>
      <c r="C720" s="20">
        <v>41918</v>
      </c>
      <c r="E720" s="20">
        <v>41932</v>
      </c>
      <c r="F720" s="1" t="s">
        <v>122</v>
      </c>
    </row>
    <row r="721" spans="1:6" x14ac:dyDescent="0.25">
      <c r="A721">
        <v>2420</v>
      </c>
      <c r="B721" t="s">
        <v>786</v>
      </c>
      <c r="C721" s="20">
        <v>41928</v>
      </c>
      <c r="E721" s="20">
        <v>41943</v>
      </c>
      <c r="F721" s="1" t="s">
        <v>122</v>
      </c>
    </row>
    <row r="722" spans="1:6" x14ac:dyDescent="0.25">
      <c r="A722">
        <v>2421</v>
      </c>
      <c r="B722" t="s">
        <v>787</v>
      </c>
      <c r="C722" s="20">
        <v>41928</v>
      </c>
      <c r="E722" s="20">
        <v>41943</v>
      </c>
      <c r="F722" s="1" t="s">
        <v>122</v>
      </c>
    </row>
    <row r="723" spans="1:6" x14ac:dyDescent="0.25">
      <c r="A723">
        <v>2422</v>
      </c>
      <c r="B723" t="s">
        <v>788</v>
      </c>
      <c r="C723" s="20">
        <v>41922</v>
      </c>
      <c r="E723" s="20">
        <v>42094</v>
      </c>
      <c r="F723" s="1" t="s">
        <v>122</v>
      </c>
    </row>
    <row r="724" spans="1:6" x14ac:dyDescent="0.25">
      <c r="A724">
        <v>2423</v>
      </c>
      <c r="B724" t="s">
        <v>789</v>
      </c>
      <c r="C724" s="20">
        <v>41947</v>
      </c>
      <c r="E724" s="20">
        <v>42004</v>
      </c>
      <c r="F724" s="1" t="s">
        <v>122</v>
      </c>
    </row>
    <row r="725" spans="1:6" x14ac:dyDescent="0.25">
      <c r="A725">
        <v>2424</v>
      </c>
      <c r="B725" t="s">
        <v>790</v>
      </c>
      <c r="C725" s="20">
        <v>41955</v>
      </c>
      <c r="D725" s="20">
        <v>42326</v>
      </c>
      <c r="E725" s="20">
        <v>42185</v>
      </c>
      <c r="F725" s="1" t="s">
        <v>122</v>
      </c>
    </row>
    <row r="726" spans="1:6" x14ac:dyDescent="0.25">
      <c r="A726">
        <v>2425</v>
      </c>
      <c r="B726" t="s">
        <v>791</v>
      </c>
      <c r="C726" s="20">
        <v>41988</v>
      </c>
      <c r="E726" s="20">
        <v>42094</v>
      </c>
      <c r="F726" s="1" t="s">
        <v>122</v>
      </c>
    </row>
    <row r="727" spans="1:6" x14ac:dyDescent="0.25">
      <c r="A727">
        <v>2426</v>
      </c>
      <c r="B727" t="s">
        <v>792</v>
      </c>
      <c r="C727" s="20">
        <v>41988</v>
      </c>
      <c r="E727" s="20">
        <v>42063</v>
      </c>
      <c r="F727" s="1" t="s">
        <v>122</v>
      </c>
    </row>
    <row r="728" spans="1:6" x14ac:dyDescent="0.25">
      <c r="A728">
        <v>2427</v>
      </c>
      <c r="B728" t="s">
        <v>793</v>
      </c>
      <c r="C728" s="20">
        <v>41996</v>
      </c>
      <c r="E728" s="20">
        <v>42185</v>
      </c>
      <c r="F728" s="1" t="s">
        <v>122</v>
      </c>
    </row>
    <row r="729" spans="1:6" x14ac:dyDescent="0.25">
      <c r="A729">
        <v>2428</v>
      </c>
      <c r="B729" t="s">
        <v>794</v>
      </c>
      <c r="C729" s="20">
        <v>41996</v>
      </c>
      <c r="E729" s="20">
        <v>42185</v>
      </c>
      <c r="F729" s="1" t="s">
        <v>122</v>
      </c>
    </row>
    <row r="730" spans="1:6" x14ac:dyDescent="0.25">
      <c r="A730">
        <v>2429</v>
      </c>
      <c r="B730" t="s">
        <v>795</v>
      </c>
      <c r="C730" s="20">
        <v>42006</v>
      </c>
      <c r="E730" s="20">
        <v>42185</v>
      </c>
      <c r="F730" s="1" t="s">
        <v>122</v>
      </c>
    </row>
    <row r="731" spans="1:6" x14ac:dyDescent="0.25">
      <c r="A731">
        <v>2430</v>
      </c>
      <c r="B731" t="s">
        <v>796</v>
      </c>
      <c r="C731" s="20">
        <v>42006</v>
      </c>
      <c r="E731" s="20">
        <v>42185</v>
      </c>
      <c r="F731" s="1" t="s">
        <v>122</v>
      </c>
    </row>
    <row r="732" spans="1:6" x14ac:dyDescent="0.25">
      <c r="A732">
        <v>2431</v>
      </c>
      <c r="B732" t="s">
        <v>797</v>
      </c>
      <c r="C732" s="20">
        <v>42006</v>
      </c>
      <c r="E732" s="20">
        <v>42185</v>
      </c>
      <c r="F732" s="1" t="s">
        <v>122</v>
      </c>
    </row>
    <row r="733" spans="1:6" x14ac:dyDescent="0.25">
      <c r="A733">
        <v>2432</v>
      </c>
      <c r="B733" t="s">
        <v>798</v>
      </c>
      <c r="C733" s="20">
        <v>42006</v>
      </c>
      <c r="E733" s="20">
        <v>42185</v>
      </c>
      <c r="F733" s="1" t="s">
        <v>122</v>
      </c>
    </row>
    <row r="734" spans="1:6" x14ac:dyDescent="0.25">
      <c r="A734">
        <v>2433</v>
      </c>
      <c r="B734" t="s">
        <v>84</v>
      </c>
      <c r="C734" s="20">
        <v>42011</v>
      </c>
      <c r="E734" s="20"/>
      <c r="F734" s="1" t="s">
        <v>137</v>
      </c>
    </row>
    <row r="735" spans="1:6" x14ac:dyDescent="0.25">
      <c r="A735">
        <v>2434</v>
      </c>
      <c r="B735" t="s">
        <v>799</v>
      </c>
      <c r="C735" s="20">
        <v>42005</v>
      </c>
      <c r="E735" s="20">
        <v>42185</v>
      </c>
      <c r="F735" s="1" t="s">
        <v>122</v>
      </c>
    </row>
    <row r="736" spans="1:6" x14ac:dyDescent="0.25">
      <c r="A736">
        <v>2435</v>
      </c>
      <c r="B736" t="s">
        <v>800</v>
      </c>
      <c r="C736" s="20">
        <v>42064</v>
      </c>
      <c r="E736" s="20">
        <v>42155</v>
      </c>
      <c r="F736" s="1" t="s">
        <v>122</v>
      </c>
    </row>
    <row r="737" spans="1:6" x14ac:dyDescent="0.25">
      <c r="A737">
        <v>2436</v>
      </c>
      <c r="B737" t="s">
        <v>801</v>
      </c>
      <c r="C737" s="20">
        <v>42074</v>
      </c>
      <c r="E737" s="20">
        <v>42185</v>
      </c>
      <c r="F737" s="1" t="s">
        <v>122</v>
      </c>
    </row>
    <row r="738" spans="1:6" x14ac:dyDescent="0.25">
      <c r="A738">
        <v>2437</v>
      </c>
      <c r="B738" t="s">
        <v>802</v>
      </c>
      <c r="C738" s="20">
        <v>42026</v>
      </c>
      <c r="E738" s="20">
        <v>42062</v>
      </c>
      <c r="F738" s="1" t="s">
        <v>122</v>
      </c>
    </row>
    <row r="739" spans="1:6" x14ac:dyDescent="0.25">
      <c r="A739">
        <v>2438</v>
      </c>
      <c r="B739" t="s">
        <v>803</v>
      </c>
      <c r="C739" s="20">
        <v>42102</v>
      </c>
      <c r="E739" s="20">
        <v>42141</v>
      </c>
      <c r="F739" s="1" t="s">
        <v>122</v>
      </c>
    </row>
    <row r="740" spans="1:6" x14ac:dyDescent="0.25">
      <c r="A740">
        <v>2439</v>
      </c>
      <c r="B740" t="s">
        <v>804</v>
      </c>
      <c r="C740" s="20">
        <v>42125</v>
      </c>
      <c r="E740" s="20">
        <v>42159</v>
      </c>
      <c r="F740" s="1" t="s">
        <v>122</v>
      </c>
    </row>
    <row r="741" spans="1:6" x14ac:dyDescent="0.25">
      <c r="A741">
        <v>2440</v>
      </c>
      <c r="B741" t="s">
        <v>805</v>
      </c>
      <c r="C741" s="20">
        <v>42125</v>
      </c>
      <c r="E741" s="20">
        <v>42277</v>
      </c>
      <c r="F741" s="1" t="s">
        <v>122</v>
      </c>
    </row>
    <row r="742" spans="1:6" x14ac:dyDescent="0.25">
      <c r="A742">
        <v>2441</v>
      </c>
      <c r="B742" t="s">
        <v>806</v>
      </c>
      <c r="C742" s="20">
        <v>42151</v>
      </c>
      <c r="E742" s="20">
        <v>42174</v>
      </c>
      <c r="F742" s="1" t="s">
        <v>122</v>
      </c>
    </row>
    <row r="743" spans="1:6" x14ac:dyDescent="0.25">
      <c r="A743">
        <v>2442</v>
      </c>
      <c r="B743" t="s">
        <v>807</v>
      </c>
      <c r="C743" s="20">
        <v>42017</v>
      </c>
      <c r="E743" s="20">
        <v>42018</v>
      </c>
      <c r="F743" s="1" t="s">
        <v>122</v>
      </c>
    </row>
    <row r="744" spans="1:6" x14ac:dyDescent="0.25">
      <c r="A744">
        <v>2443</v>
      </c>
      <c r="B744" t="s">
        <v>26</v>
      </c>
      <c r="C744" s="20">
        <v>42165</v>
      </c>
      <c r="E744" s="20">
        <v>43306</v>
      </c>
      <c r="F744" s="1" t="s">
        <v>122</v>
      </c>
    </row>
    <row r="745" spans="1:6" x14ac:dyDescent="0.25">
      <c r="A745">
        <v>2444</v>
      </c>
      <c r="B745" t="s">
        <v>808</v>
      </c>
      <c r="C745" s="20">
        <v>42186</v>
      </c>
      <c r="E745" s="20">
        <v>42240</v>
      </c>
      <c r="F745" s="1" t="s">
        <v>122</v>
      </c>
    </row>
    <row r="746" spans="1:6" x14ac:dyDescent="0.25">
      <c r="A746">
        <v>2445</v>
      </c>
      <c r="B746" t="s">
        <v>809</v>
      </c>
      <c r="C746" s="20">
        <v>42186</v>
      </c>
      <c r="E746" s="20">
        <v>42369</v>
      </c>
      <c r="F746" s="1" t="s">
        <v>122</v>
      </c>
    </row>
    <row r="747" spans="1:6" x14ac:dyDescent="0.25">
      <c r="A747">
        <v>2446</v>
      </c>
      <c r="B747" t="s">
        <v>810</v>
      </c>
      <c r="C747" s="20">
        <v>42186</v>
      </c>
      <c r="E747" s="20">
        <v>42369</v>
      </c>
      <c r="F747" s="1" t="s">
        <v>122</v>
      </c>
    </row>
    <row r="748" spans="1:6" x14ac:dyDescent="0.25">
      <c r="A748">
        <v>2447</v>
      </c>
      <c r="B748" t="s">
        <v>811</v>
      </c>
      <c r="C748" s="20">
        <v>42006</v>
      </c>
      <c r="E748" s="20">
        <v>42277</v>
      </c>
      <c r="F748" s="1" t="s">
        <v>122</v>
      </c>
    </row>
    <row r="749" spans="1:6" x14ac:dyDescent="0.25">
      <c r="A749">
        <v>2448</v>
      </c>
      <c r="B749" t="s">
        <v>812</v>
      </c>
      <c r="C749" s="20">
        <v>42006</v>
      </c>
      <c r="E749" s="20">
        <v>42277</v>
      </c>
      <c r="F749" s="1" t="s">
        <v>122</v>
      </c>
    </row>
    <row r="750" spans="1:6" x14ac:dyDescent="0.25">
      <c r="A750">
        <v>2449</v>
      </c>
      <c r="B750" t="s">
        <v>813</v>
      </c>
      <c r="C750" s="20">
        <v>42006</v>
      </c>
      <c r="E750" s="20">
        <v>42277</v>
      </c>
      <c r="F750" s="1" t="s">
        <v>122</v>
      </c>
    </row>
    <row r="751" spans="1:6" x14ac:dyDescent="0.25">
      <c r="A751">
        <v>2450</v>
      </c>
      <c r="B751" t="s">
        <v>814</v>
      </c>
      <c r="C751" s="20">
        <v>42006</v>
      </c>
      <c r="E751" s="20">
        <v>42277</v>
      </c>
      <c r="F751" s="1" t="s">
        <v>122</v>
      </c>
    </row>
    <row r="752" spans="1:6" x14ac:dyDescent="0.25">
      <c r="A752">
        <v>2451</v>
      </c>
      <c r="B752" t="s">
        <v>815</v>
      </c>
      <c r="C752" s="20">
        <v>42199</v>
      </c>
      <c r="D752" s="20">
        <v>42732</v>
      </c>
      <c r="E752" s="20">
        <v>42369</v>
      </c>
      <c r="F752" s="1" t="s">
        <v>122</v>
      </c>
    </row>
    <row r="753" spans="1:6" x14ac:dyDescent="0.25">
      <c r="A753">
        <v>2452</v>
      </c>
      <c r="B753" t="s">
        <v>72</v>
      </c>
      <c r="C753" s="20">
        <v>42199</v>
      </c>
      <c r="E753" s="20">
        <v>42277</v>
      </c>
      <c r="F753" s="1" t="s">
        <v>122</v>
      </c>
    </row>
    <row r="754" spans="1:6" x14ac:dyDescent="0.25">
      <c r="A754">
        <v>2453</v>
      </c>
      <c r="B754" t="s">
        <v>816</v>
      </c>
      <c r="C754" s="20">
        <v>42186</v>
      </c>
      <c r="E754" s="20">
        <v>42551</v>
      </c>
      <c r="F754" s="1" t="s">
        <v>122</v>
      </c>
    </row>
    <row r="755" spans="1:6" x14ac:dyDescent="0.25">
      <c r="A755">
        <v>2454</v>
      </c>
      <c r="B755" t="s">
        <v>817</v>
      </c>
      <c r="C755" s="20">
        <v>42199</v>
      </c>
      <c r="E755" s="20">
        <v>42369</v>
      </c>
      <c r="F755" s="1" t="s">
        <v>122</v>
      </c>
    </row>
    <row r="756" spans="1:6" x14ac:dyDescent="0.25">
      <c r="A756">
        <v>2455</v>
      </c>
      <c r="B756" t="s">
        <v>818</v>
      </c>
      <c r="C756" s="20">
        <v>42202</v>
      </c>
      <c r="E756" s="20">
        <v>42185</v>
      </c>
      <c r="F756" s="1" t="s">
        <v>122</v>
      </c>
    </row>
    <row r="757" spans="1:6" x14ac:dyDescent="0.25">
      <c r="A757">
        <v>2456</v>
      </c>
      <c r="B757" t="s">
        <v>819</v>
      </c>
      <c r="C757" s="20">
        <v>42206</v>
      </c>
      <c r="E757" s="20">
        <v>42294</v>
      </c>
      <c r="F757" s="1" t="s">
        <v>122</v>
      </c>
    </row>
    <row r="758" spans="1:6" x14ac:dyDescent="0.25">
      <c r="A758">
        <v>2457</v>
      </c>
      <c r="B758" t="s">
        <v>820</v>
      </c>
      <c r="C758" s="20">
        <v>42216</v>
      </c>
      <c r="E758" s="20">
        <v>42693</v>
      </c>
      <c r="F758" s="1" t="s">
        <v>122</v>
      </c>
    </row>
    <row r="759" spans="1:6" x14ac:dyDescent="0.25">
      <c r="A759">
        <v>2458</v>
      </c>
      <c r="B759" t="s">
        <v>821</v>
      </c>
      <c r="C759" s="20">
        <v>42216</v>
      </c>
      <c r="E759" s="20">
        <v>42693</v>
      </c>
      <c r="F759" s="1" t="s">
        <v>122</v>
      </c>
    </row>
    <row r="760" spans="1:6" x14ac:dyDescent="0.25">
      <c r="A760">
        <v>2459</v>
      </c>
      <c r="B760" t="s">
        <v>822</v>
      </c>
      <c r="C760" s="20">
        <v>42216</v>
      </c>
      <c r="E760" s="20">
        <v>42693</v>
      </c>
      <c r="F760" s="1" t="s">
        <v>122</v>
      </c>
    </row>
    <row r="761" spans="1:6" x14ac:dyDescent="0.25">
      <c r="A761">
        <v>2460</v>
      </c>
      <c r="B761" t="s">
        <v>823</v>
      </c>
      <c r="C761" s="20">
        <v>42217</v>
      </c>
      <c r="E761" s="20">
        <v>42309</v>
      </c>
      <c r="F761" s="1" t="s">
        <v>122</v>
      </c>
    </row>
    <row r="762" spans="1:6" x14ac:dyDescent="0.25">
      <c r="A762">
        <v>2461</v>
      </c>
      <c r="B762" t="s">
        <v>824</v>
      </c>
      <c r="C762" s="20">
        <v>42217</v>
      </c>
      <c r="E762" s="20">
        <v>370995</v>
      </c>
      <c r="F762" s="1" t="s">
        <v>122</v>
      </c>
    </row>
    <row r="763" spans="1:6" x14ac:dyDescent="0.25">
      <c r="A763">
        <v>2462</v>
      </c>
      <c r="B763" t="s">
        <v>825</v>
      </c>
      <c r="C763" s="20">
        <v>42217</v>
      </c>
      <c r="E763" s="20">
        <v>42277</v>
      </c>
      <c r="F763" s="1" t="s">
        <v>122</v>
      </c>
    </row>
    <row r="764" spans="1:6" x14ac:dyDescent="0.25">
      <c r="A764">
        <v>2463</v>
      </c>
      <c r="B764" t="s">
        <v>129</v>
      </c>
      <c r="C764" s="20">
        <v>42217</v>
      </c>
      <c r="E764" s="20">
        <v>42855</v>
      </c>
      <c r="F764" s="1" t="s">
        <v>122</v>
      </c>
    </row>
    <row r="765" spans="1:6" x14ac:dyDescent="0.25">
      <c r="A765">
        <v>2464</v>
      </c>
      <c r="B765" t="s">
        <v>826</v>
      </c>
      <c r="C765" s="20">
        <v>42236</v>
      </c>
      <c r="E765" s="20">
        <v>42308</v>
      </c>
      <c r="F765" s="1" t="s">
        <v>122</v>
      </c>
    </row>
    <row r="766" spans="1:6" x14ac:dyDescent="0.25">
      <c r="A766">
        <v>2465</v>
      </c>
      <c r="B766" t="s">
        <v>827</v>
      </c>
      <c r="C766" s="20">
        <v>42243</v>
      </c>
      <c r="E766" s="20">
        <v>42369</v>
      </c>
      <c r="F766" s="1" t="s">
        <v>122</v>
      </c>
    </row>
    <row r="767" spans="1:6" x14ac:dyDescent="0.25">
      <c r="A767">
        <v>2466</v>
      </c>
      <c r="B767" t="s">
        <v>19</v>
      </c>
      <c r="C767" s="20">
        <v>42248</v>
      </c>
      <c r="E767" s="20"/>
      <c r="F767" s="1" t="s">
        <v>137</v>
      </c>
    </row>
    <row r="768" spans="1:6" x14ac:dyDescent="0.25">
      <c r="A768">
        <v>2467</v>
      </c>
      <c r="B768" t="s">
        <v>828</v>
      </c>
      <c r="C768" s="20">
        <v>42277</v>
      </c>
      <c r="E768" s="20">
        <v>42338</v>
      </c>
      <c r="F768" s="1" t="s">
        <v>122</v>
      </c>
    </row>
    <row r="769" spans="1:6" x14ac:dyDescent="0.25">
      <c r="A769">
        <v>2468</v>
      </c>
      <c r="B769" t="s">
        <v>829</v>
      </c>
      <c r="C769" s="20">
        <v>42278</v>
      </c>
      <c r="E769" s="20">
        <v>42308</v>
      </c>
      <c r="F769" s="1" t="s">
        <v>122</v>
      </c>
    </row>
    <row r="770" spans="1:6" x14ac:dyDescent="0.25">
      <c r="A770">
        <v>2469</v>
      </c>
      <c r="B770" t="s">
        <v>830</v>
      </c>
      <c r="C770" s="20">
        <v>42283</v>
      </c>
      <c r="E770" s="20">
        <v>42306</v>
      </c>
      <c r="F770" s="1" t="s">
        <v>122</v>
      </c>
    </row>
    <row r="771" spans="1:6" x14ac:dyDescent="0.25">
      <c r="A771">
        <v>2470</v>
      </c>
      <c r="B771" t="s">
        <v>831</v>
      </c>
      <c r="C771" s="20">
        <v>42283</v>
      </c>
      <c r="D771" s="20">
        <v>42286</v>
      </c>
      <c r="E771" s="20">
        <v>42559</v>
      </c>
      <c r="F771" s="1" t="s">
        <v>122</v>
      </c>
    </row>
    <row r="772" spans="1:6" x14ac:dyDescent="0.25">
      <c r="A772">
        <v>2471</v>
      </c>
      <c r="B772" t="s">
        <v>832</v>
      </c>
      <c r="C772" s="20">
        <v>42320</v>
      </c>
      <c r="E772" s="20">
        <v>42674</v>
      </c>
      <c r="F772" s="1" t="s">
        <v>122</v>
      </c>
    </row>
    <row r="773" spans="1:6" x14ac:dyDescent="0.25">
      <c r="A773">
        <v>2472</v>
      </c>
      <c r="B773" t="s">
        <v>833</v>
      </c>
      <c r="C773" s="20">
        <v>42348</v>
      </c>
      <c r="E773" s="20">
        <v>42430</v>
      </c>
      <c r="F773" s="1" t="s">
        <v>122</v>
      </c>
    </row>
    <row r="774" spans="1:6" x14ac:dyDescent="0.25">
      <c r="A774">
        <v>2473</v>
      </c>
      <c r="B774" t="s">
        <v>716</v>
      </c>
      <c r="C774" s="20">
        <v>41091</v>
      </c>
      <c r="E774" s="20">
        <v>41455</v>
      </c>
      <c r="F774" s="1" t="s">
        <v>122</v>
      </c>
    </row>
    <row r="775" spans="1:6" x14ac:dyDescent="0.25">
      <c r="A775">
        <v>2474</v>
      </c>
      <c r="B775" t="s">
        <v>834</v>
      </c>
      <c r="C775" s="20">
        <v>42170</v>
      </c>
      <c r="E775" s="20">
        <v>42186</v>
      </c>
      <c r="F775" s="1" t="s">
        <v>122</v>
      </c>
    </row>
    <row r="776" spans="1:6" x14ac:dyDescent="0.25">
      <c r="A776">
        <v>2475</v>
      </c>
      <c r="B776" t="s">
        <v>130</v>
      </c>
      <c r="C776" s="20">
        <v>42356</v>
      </c>
      <c r="E776" s="20">
        <v>43038</v>
      </c>
      <c r="F776" s="1" t="s">
        <v>122</v>
      </c>
    </row>
    <row r="777" spans="1:6" x14ac:dyDescent="0.25">
      <c r="A777">
        <v>2476</v>
      </c>
      <c r="B777" t="s">
        <v>835</v>
      </c>
      <c r="C777" s="20">
        <v>42356</v>
      </c>
      <c r="E777" s="20">
        <v>42400</v>
      </c>
      <c r="F777" s="1" t="s">
        <v>122</v>
      </c>
    </row>
    <row r="778" spans="1:6" x14ac:dyDescent="0.25">
      <c r="A778">
        <v>2477</v>
      </c>
      <c r="B778" t="s">
        <v>836</v>
      </c>
      <c r="C778" s="20">
        <v>42370</v>
      </c>
      <c r="E778" s="20">
        <v>42551</v>
      </c>
      <c r="F778" s="1" t="s">
        <v>122</v>
      </c>
    </row>
    <row r="779" spans="1:6" x14ac:dyDescent="0.25">
      <c r="A779">
        <v>2478</v>
      </c>
      <c r="B779" t="s">
        <v>837</v>
      </c>
      <c r="C779" s="20">
        <v>42370</v>
      </c>
      <c r="E779" s="20">
        <v>42551</v>
      </c>
      <c r="F779" s="1" t="s">
        <v>122</v>
      </c>
    </row>
    <row r="780" spans="1:6" x14ac:dyDescent="0.25">
      <c r="A780">
        <v>2479</v>
      </c>
      <c r="B780" t="s">
        <v>838</v>
      </c>
      <c r="C780" s="20">
        <v>42370</v>
      </c>
      <c r="E780" s="20">
        <v>42559</v>
      </c>
      <c r="F780" s="1" t="s">
        <v>122</v>
      </c>
    </row>
    <row r="781" spans="1:6" x14ac:dyDescent="0.25">
      <c r="A781">
        <v>2480</v>
      </c>
      <c r="B781" t="s">
        <v>839</v>
      </c>
      <c r="C781" s="20">
        <v>42370</v>
      </c>
      <c r="E781" s="20">
        <v>42559</v>
      </c>
      <c r="F781" s="1" t="s">
        <v>122</v>
      </c>
    </row>
    <row r="782" spans="1:6" x14ac:dyDescent="0.25">
      <c r="A782">
        <v>2481</v>
      </c>
      <c r="B782" t="s">
        <v>840</v>
      </c>
      <c r="C782" s="20">
        <v>42370</v>
      </c>
      <c r="E782" s="20">
        <v>42559</v>
      </c>
      <c r="F782" s="1" t="s">
        <v>122</v>
      </c>
    </row>
    <row r="783" spans="1:6" x14ac:dyDescent="0.25">
      <c r="A783">
        <v>2482</v>
      </c>
      <c r="B783" t="s">
        <v>841</v>
      </c>
      <c r="C783" s="20">
        <v>42370</v>
      </c>
      <c r="E783" s="20">
        <v>42559</v>
      </c>
      <c r="F783" s="1" t="s">
        <v>122</v>
      </c>
    </row>
    <row r="784" spans="1:6" x14ac:dyDescent="0.25">
      <c r="A784">
        <v>2483</v>
      </c>
      <c r="B784" t="s">
        <v>842</v>
      </c>
      <c r="C784" s="20">
        <v>42370</v>
      </c>
      <c r="E784" s="20">
        <v>42559</v>
      </c>
      <c r="F784" s="1" t="s">
        <v>122</v>
      </c>
    </row>
    <row r="785" spans="1:6" x14ac:dyDescent="0.25">
      <c r="A785">
        <v>2484</v>
      </c>
      <c r="B785" t="s">
        <v>843</v>
      </c>
      <c r="C785" s="20">
        <v>42370</v>
      </c>
      <c r="E785" s="20">
        <v>42559</v>
      </c>
      <c r="F785" s="1" t="s">
        <v>122</v>
      </c>
    </row>
    <row r="786" spans="1:6" x14ac:dyDescent="0.25">
      <c r="A786">
        <v>2485</v>
      </c>
      <c r="B786" t="s">
        <v>844</v>
      </c>
      <c r="C786" s="20">
        <v>42383</v>
      </c>
      <c r="E786" s="20">
        <v>42551</v>
      </c>
      <c r="F786" s="1" t="s">
        <v>122</v>
      </c>
    </row>
    <row r="787" spans="1:6" x14ac:dyDescent="0.25">
      <c r="A787">
        <v>2486</v>
      </c>
      <c r="B787" t="s">
        <v>71</v>
      </c>
      <c r="C787" s="20">
        <v>42383</v>
      </c>
      <c r="E787" s="20"/>
      <c r="F787" s="1" t="s">
        <v>137</v>
      </c>
    </row>
    <row r="788" spans="1:6" x14ac:dyDescent="0.25">
      <c r="A788">
        <v>2487</v>
      </c>
      <c r="B788" t="s">
        <v>709</v>
      </c>
      <c r="C788" s="20">
        <v>42383</v>
      </c>
      <c r="E788" s="20">
        <v>42551</v>
      </c>
      <c r="F788" s="1" t="s">
        <v>122</v>
      </c>
    </row>
    <row r="789" spans="1:6" x14ac:dyDescent="0.25">
      <c r="A789">
        <v>2488</v>
      </c>
      <c r="B789" t="s">
        <v>845</v>
      </c>
      <c r="C789" s="20">
        <v>42391</v>
      </c>
      <c r="D789" s="20">
        <v>42724</v>
      </c>
      <c r="E789" s="20">
        <v>42559</v>
      </c>
      <c r="F789" s="1" t="s">
        <v>122</v>
      </c>
    </row>
    <row r="790" spans="1:6" x14ac:dyDescent="0.25">
      <c r="A790">
        <v>2489</v>
      </c>
      <c r="B790" t="s">
        <v>846</v>
      </c>
      <c r="C790" s="20">
        <v>42397</v>
      </c>
      <c r="D790" s="20">
        <v>42726</v>
      </c>
      <c r="E790" s="20">
        <v>42559</v>
      </c>
      <c r="F790" s="1" t="s">
        <v>122</v>
      </c>
    </row>
    <row r="791" spans="1:6" x14ac:dyDescent="0.25">
      <c r="A791">
        <v>2490</v>
      </c>
      <c r="B791" t="s">
        <v>847</v>
      </c>
      <c r="C791" s="20">
        <v>42397</v>
      </c>
      <c r="E791" s="20">
        <v>42418</v>
      </c>
      <c r="F791" s="1" t="s">
        <v>122</v>
      </c>
    </row>
    <row r="792" spans="1:6" x14ac:dyDescent="0.25">
      <c r="A792">
        <v>2491</v>
      </c>
      <c r="B792" t="s">
        <v>848</v>
      </c>
      <c r="C792" s="20">
        <v>42397</v>
      </c>
      <c r="D792" s="20">
        <v>42431</v>
      </c>
      <c r="E792" s="20">
        <v>43530</v>
      </c>
      <c r="F792" s="1" t="s">
        <v>122</v>
      </c>
    </row>
    <row r="793" spans="1:6" x14ac:dyDescent="0.25">
      <c r="A793">
        <v>2492</v>
      </c>
      <c r="B793" t="s">
        <v>849</v>
      </c>
      <c r="C793" s="20">
        <v>42436</v>
      </c>
      <c r="E793" s="20">
        <v>42658</v>
      </c>
      <c r="F793" s="1" t="s">
        <v>122</v>
      </c>
    </row>
    <row r="794" spans="1:6" x14ac:dyDescent="0.25">
      <c r="A794">
        <v>2493</v>
      </c>
      <c r="B794" t="s">
        <v>850</v>
      </c>
      <c r="C794" s="20">
        <v>42439</v>
      </c>
      <c r="E794" s="20">
        <v>42460</v>
      </c>
      <c r="F794" s="1" t="s">
        <v>122</v>
      </c>
    </row>
    <row r="795" spans="1:6" x14ac:dyDescent="0.25">
      <c r="A795">
        <v>2494</v>
      </c>
      <c r="B795" t="s">
        <v>56</v>
      </c>
      <c r="C795" s="20">
        <v>42439</v>
      </c>
      <c r="E795" s="20">
        <v>42551</v>
      </c>
      <c r="F795" s="1" t="s">
        <v>122</v>
      </c>
    </row>
    <row r="796" spans="1:6" x14ac:dyDescent="0.25">
      <c r="A796">
        <v>2495</v>
      </c>
      <c r="B796" t="s">
        <v>33</v>
      </c>
      <c r="C796" s="20">
        <v>42439</v>
      </c>
      <c r="E796" s="20">
        <v>42551</v>
      </c>
      <c r="F796" s="1" t="s">
        <v>122</v>
      </c>
    </row>
    <row r="797" spans="1:6" x14ac:dyDescent="0.25">
      <c r="A797">
        <v>2496</v>
      </c>
      <c r="B797" t="s">
        <v>93</v>
      </c>
      <c r="C797" s="20">
        <v>42439</v>
      </c>
      <c r="E797" s="20">
        <v>42551</v>
      </c>
      <c r="F797" s="1" t="s">
        <v>122</v>
      </c>
    </row>
    <row r="798" spans="1:6" x14ac:dyDescent="0.25">
      <c r="A798">
        <v>2497</v>
      </c>
      <c r="B798" t="s">
        <v>851</v>
      </c>
      <c r="C798" s="20">
        <v>42439</v>
      </c>
      <c r="E798" s="20"/>
      <c r="F798" s="1" t="s">
        <v>137</v>
      </c>
    </row>
    <row r="799" spans="1:6" x14ac:dyDescent="0.25">
      <c r="A799">
        <v>2498</v>
      </c>
      <c r="B799" t="s">
        <v>852</v>
      </c>
      <c r="C799" s="20">
        <v>42439</v>
      </c>
      <c r="E799" s="20">
        <v>42693</v>
      </c>
      <c r="F799" s="1" t="s">
        <v>122</v>
      </c>
    </row>
    <row r="800" spans="1:6" x14ac:dyDescent="0.25">
      <c r="A800">
        <v>2499</v>
      </c>
      <c r="B800" t="s">
        <v>853</v>
      </c>
      <c r="C800" s="20">
        <v>42461</v>
      </c>
      <c r="E800" s="20">
        <v>42551</v>
      </c>
      <c r="F800" s="1" t="s">
        <v>122</v>
      </c>
    </row>
    <row r="801" spans="1:6" x14ac:dyDescent="0.25">
      <c r="A801">
        <v>2500</v>
      </c>
      <c r="B801" t="s">
        <v>854</v>
      </c>
      <c r="C801" s="20">
        <v>42552</v>
      </c>
      <c r="E801" s="20">
        <v>42735</v>
      </c>
      <c r="F801" s="1" t="s">
        <v>122</v>
      </c>
    </row>
    <row r="802" spans="1:6" x14ac:dyDescent="0.25">
      <c r="A802">
        <v>2501</v>
      </c>
      <c r="B802" t="s">
        <v>855</v>
      </c>
      <c r="C802" s="20">
        <v>42552</v>
      </c>
      <c r="E802" s="20">
        <v>42735</v>
      </c>
      <c r="F802" s="1" t="s">
        <v>122</v>
      </c>
    </row>
    <row r="803" spans="1:6" x14ac:dyDescent="0.25">
      <c r="A803">
        <v>2502</v>
      </c>
      <c r="B803" t="s">
        <v>85</v>
      </c>
      <c r="C803" s="20">
        <v>42552</v>
      </c>
      <c r="E803" s="20">
        <v>42735</v>
      </c>
      <c r="F803" s="1" t="s">
        <v>122</v>
      </c>
    </row>
    <row r="804" spans="1:6" x14ac:dyDescent="0.25">
      <c r="A804">
        <v>2503</v>
      </c>
      <c r="B804" t="s">
        <v>856</v>
      </c>
      <c r="C804" s="20">
        <v>42552</v>
      </c>
      <c r="E804" s="20">
        <v>42735</v>
      </c>
      <c r="F804" s="1" t="s">
        <v>122</v>
      </c>
    </row>
    <row r="805" spans="1:6" x14ac:dyDescent="0.25">
      <c r="A805">
        <v>2504</v>
      </c>
      <c r="B805" t="s">
        <v>857</v>
      </c>
      <c r="C805" s="20">
        <v>42559</v>
      </c>
      <c r="E805" s="20">
        <v>42582</v>
      </c>
      <c r="F805" s="1" t="s">
        <v>122</v>
      </c>
    </row>
    <row r="806" spans="1:6" x14ac:dyDescent="0.25">
      <c r="A806">
        <v>2505</v>
      </c>
      <c r="B806" t="s">
        <v>27</v>
      </c>
      <c r="C806" s="20">
        <v>42565</v>
      </c>
      <c r="E806" s="20">
        <v>42613</v>
      </c>
      <c r="F806" s="1" t="s">
        <v>122</v>
      </c>
    </row>
    <row r="807" spans="1:6" x14ac:dyDescent="0.25">
      <c r="A807">
        <v>2506</v>
      </c>
      <c r="B807" t="s">
        <v>858</v>
      </c>
      <c r="C807" s="20">
        <v>42572</v>
      </c>
      <c r="E807" s="20">
        <v>42644</v>
      </c>
      <c r="F807" s="1" t="s">
        <v>122</v>
      </c>
    </row>
    <row r="808" spans="1:6" x14ac:dyDescent="0.25">
      <c r="A808">
        <v>2507</v>
      </c>
      <c r="B808" t="s">
        <v>6</v>
      </c>
      <c r="C808" s="20">
        <v>42572</v>
      </c>
      <c r="E808" s="20">
        <v>42642</v>
      </c>
      <c r="F808" s="1" t="s">
        <v>122</v>
      </c>
    </row>
    <row r="809" spans="1:6" x14ac:dyDescent="0.25">
      <c r="A809">
        <v>2508</v>
      </c>
      <c r="B809" t="s">
        <v>2</v>
      </c>
      <c r="C809" s="20">
        <v>42583</v>
      </c>
      <c r="E809" s="20">
        <v>42979</v>
      </c>
      <c r="F809" s="1" t="s">
        <v>122</v>
      </c>
    </row>
    <row r="810" spans="1:6" x14ac:dyDescent="0.25">
      <c r="A810">
        <v>2509</v>
      </c>
      <c r="B810" t="s">
        <v>131</v>
      </c>
      <c r="C810" s="20">
        <v>42583</v>
      </c>
      <c r="E810" s="20">
        <v>42855</v>
      </c>
      <c r="F810" s="1" t="s">
        <v>122</v>
      </c>
    </row>
    <row r="811" spans="1:6" x14ac:dyDescent="0.25">
      <c r="A811">
        <v>2510</v>
      </c>
      <c r="B811" t="s">
        <v>132</v>
      </c>
      <c r="C811" s="20">
        <v>42583</v>
      </c>
      <c r="E811" s="20">
        <v>42855</v>
      </c>
      <c r="F811" s="1" t="s">
        <v>122</v>
      </c>
    </row>
    <row r="812" spans="1:6" x14ac:dyDescent="0.25">
      <c r="A812">
        <v>2511</v>
      </c>
      <c r="B812" t="s">
        <v>133</v>
      </c>
      <c r="C812" s="20">
        <v>42583</v>
      </c>
      <c r="E812" s="20">
        <v>42855</v>
      </c>
      <c r="F812" s="1" t="s">
        <v>122</v>
      </c>
    </row>
    <row r="813" spans="1:6" x14ac:dyDescent="0.25">
      <c r="A813">
        <v>2512</v>
      </c>
      <c r="B813" t="s">
        <v>134</v>
      </c>
      <c r="C813" s="20">
        <v>42583</v>
      </c>
      <c r="E813" s="20">
        <v>42855</v>
      </c>
      <c r="F813" s="1" t="s">
        <v>122</v>
      </c>
    </row>
    <row r="814" spans="1:6" x14ac:dyDescent="0.25">
      <c r="A814">
        <v>2513</v>
      </c>
      <c r="B814" t="s">
        <v>135</v>
      </c>
      <c r="C814" s="20">
        <v>42583</v>
      </c>
      <c r="E814" s="20">
        <v>43006</v>
      </c>
      <c r="F814" s="1" t="s">
        <v>122</v>
      </c>
    </row>
    <row r="815" spans="1:6" x14ac:dyDescent="0.25">
      <c r="A815">
        <v>2514</v>
      </c>
      <c r="B815" t="s">
        <v>28</v>
      </c>
      <c r="C815" s="20">
        <v>42611</v>
      </c>
      <c r="E815" s="20">
        <v>42704</v>
      </c>
      <c r="F815" s="1" t="s">
        <v>122</v>
      </c>
    </row>
    <row r="816" spans="1:6" x14ac:dyDescent="0.25">
      <c r="A816">
        <v>2515</v>
      </c>
      <c r="B816" t="s">
        <v>20</v>
      </c>
      <c r="C816" s="20">
        <v>42626</v>
      </c>
      <c r="E816" s="20">
        <v>42683</v>
      </c>
      <c r="F816" s="1" t="s">
        <v>122</v>
      </c>
    </row>
    <row r="817" spans="1:6" x14ac:dyDescent="0.25">
      <c r="A817">
        <v>2516</v>
      </c>
      <c r="B817" t="s">
        <v>859</v>
      </c>
      <c r="C817" s="20">
        <v>42628</v>
      </c>
      <c r="E817" s="20">
        <v>42658</v>
      </c>
      <c r="F817" s="1" t="s">
        <v>122</v>
      </c>
    </row>
    <row r="818" spans="1:6" x14ac:dyDescent="0.25">
      <c r="A818">
        <v>2517</v>
      </c>
      <c r="B818" t="s">
        <v>860</v>
      </c>
      <c r="C818" s="20">
        <v>42648</v>
      </c>
      <c r="E818" s="20">
        <v>42766</v>
      </c>
      <c r="F818" s="1" t="s">
        <v>122</v>
      </c>
    </row>
    <row r="819" spans="1:6" x14ac:dyDescent="0.25">
      <c r="A819">
        <v>2518</v>
      </c>
      <c r="B819" t="s">
        <v>13</v>
      </c>
      <c r="C819" s="20">
        <v>42648</v>
      </c>
      <c r="E819" s="20">
        <v>42675</v>
      </c>
      <c r="F819" s="1" t="s">
        <v>122</v>
      </c>
    </row>
    <row r="820" spans="1:6" x14ac:dyDescent="0.25">
      <c r="A820">
        <v>2519</v>
      </c>
      <c r="B820" t="s">
        <v>5</v>
      </c>
      <c r="C820" s="20">
        <v>42655</v>
      </c>
      <c r="E820" s="20"/>
      <c r="F820" s="1" t="s">
        <v>137</v>
      </c>
    </row>
    <row r="821" spans="1:6" x14ac:dyDescent="0.25">
      <c r="A821">
        <v>2520</v>
      </c>
      <c r="B821" t="s">
        <v>21</v>
      </c>
      <c r="C821" s="20">
        <v>42663</v>
      </c>
      <c r="E821" s="20">
        <v>42689</v>
      </c>
      <c r="F821" s="1" t="s">
        <v>122</v>
      </c>
    </row>
    <row r="822" spans="1:6" x14ac:dyDescent="0.25">
      <c r="A822">
        <v>2521</v>
      </c>
      <c r="B822" t="s">
        <v>29</v>
      </c>
      <c r="C822" s="20">
        <v>42670</v>
      </c>
      <c r="E822" s="20">
        <v>42693</v>
      </c>
      <c r="F822" s="1" t="s">
        <v>122</v>
      </c>
    </row>
    <row r="823" spans="1:6" x14ac:dyDescent="0.25">
      <c r="A823">
        <v>2522</v>
      </c>
      <c r="B823" t="s">
        <v>861</v>
      </c>
      <c r="C823" s="20">
        <v>42682</v>
      </c>
      <c r="E823" s="20">
        <v>42735</v>
      </c>
      <c r="F823" s="1" t="s">
        <v>122</v>
      </c>
    </row>
    <row r="824" spans="1:6" x14ac:dyDescent="0.25">
      <c r="A824">
        <v>2523</v>
      </c>
      <c r="B824" t="s">
        <v>86</v>
      </c>
      <c r="C824" s="20">
        <v>42684</v>
      </c>
      <c r="E824" s="20"/>
      <c r="F824" s="1" t="s">
        <v>137</v>
      </c>
    </row>
    <row r="825" spans="1:6" x14ac:dyDescent="0.25">
      <c r="A825">
        <v>2524</v>
      </c>
      <c r="B825" t="s">
        <v>3</v>
      </c>
      <c r="C825" s="20">
        <v>42711</v>
      </c>
      <c r="E825" s="20"/>
      <c r="F825" s="1" t="s">
        <v>137</v>
      </c>
    </row>
    <row r="826" spans="1:6" x14ac:dyDescent="0.25">
      <c r="A826">
        <v>2525</v>
      </c>
      <c r="B826" t="s">
        <v>4</v>
      </c>
      <c r="C826" s="20">
        <v>42711</v>
      </c>
      <c r="E826" s="20"/>
      <c r="F826" s="1" t="s">
        <v>137</v>
      </c>
    </row>
    <row r="827" spans="1:6" x14ac:dyDescent="0.25">
      <c r="A827">
        <v>2526</v>
      </c>
      <c r="B827" t="s">
        <v>87</v>
      </c>
      <c r="C827" s="20">
        <v>42719</v>
      </c>
      <c r="E827" s="20"/>
      <c r="F827" s="1" t="s">
        <v>137</v>
      </c>
    </row>
    <row r="828" spans="1:6" x14ac:dyDescent="0.25">
      <c r="A828">
        <v>2527</v>
      </c>
      <c r="B828" t="s">
        <v>11</v>
      </c>
      <c r="C828" s="20">
        <v>42725</v>
      </c>
      <c r="E828" s="20">
        <v>42766</v>
      </c>
      <c r="F828" s="1" t="s">
        <v>122</v>
      </c>
    </row>
    <row r="829" spans="1:6" x14ac:dyDescent="0.25">
      <c r="A829">
        <v>2528</v>
      </c>
      <c r="B829" t="s">
        <v>74</v>
      </c>
      <c r="C829" s="20">
        <v>42736</v>
      </c>
      <c r="E829" s="20">
        <v>42916</v>
      </c>
      <c r="F829" s="1" t="s">
        <v>122</v>
      </c>
    </row>
    <row r="830" spans="1:6" x14ac:dyDescent="0.25">
      <c r="A830">
        <v>2529</v>
      </c>
      <c r="B830" t="s">
        <v>139</v>
      </c>
      <c r="C830" s="20">
        <v>42736</v>
      </c>
      <c r="E830" s="20">
        <v>42916</v>
      </c>
      <c r="F830" s="1" t="s">
        <v>122</v>
      </c>
    </row>
    <row r="831" spans="1:6" x14ac:dyDescent="0.25">
      <c r="A831">
        <v>2530</v>
      </c>
      <c r="B831" t="s">
        <v>22</v>
      </c>
      <c r="C831" s="20">
        <v>42741</v>
      </c>
      <c r="D831" s="20">
        <v>42759</v>
      </c>
      <c r="E831" s="20">
        <v>42825</v>
      </c>
      <c r="F831" s="1" t="s">
        <v>122</v>
      </c>
    </row>
    <row r="832" spans="1:6" x14ac:dyDescent="0.25">
      <c r="A832">
        <v>2531</v>
      </c>
      <c r="B832" t="s">
        <v>30</v>
      </c>
      <c r="C832" s="20">
        <v>42746</v>
      </c>
      <c r="E832" s="20">
        <v>42776</v>
      </c>
      <c r="F832" s="1" t="s">
        <v>122</v>
      </c>
    </row>
    <row r="833" spans="1:6" x14ac:dyDescent="0.25">
      <c r="A833">
        <v>2532</v>
      </c>
      <c r="B833" t="s">
        <v>31</v>
      </c>
      <c r="C833" s="20">
        <v>42775</v>
      </c>
      <c r="E833" s="20">
        <v>42783</v>
      </c>
      <c r="F833" s="1" t="s">
        <v>122</v>
      </c>
    </row>
    <row r="834" spans="1:6" x14ac:dyDescent="0.25">
      <c r="A834">
        <v>2533</v>
      </c>
      <c r="B834" t="s">
        <v>34</v>
      </c>
      <c r="C834" s="20">
        <v>42801</v>
      </c>
      <c r="E834" s="20">
        <v>42855</v>
      </c>
      <c r="F834" s="1" t="s">
        <v>122</v>
      </c>
    </row>
    <row r="835" spans="1:6" x14ac:dyDescent="0.25">
      <c r="A835">
        <v>2534</v>
      </c>
      <c r="B835" t="s">
        <v>88</v>
      </c>
      <c r="C835" s="20">
        <v>42808</v>
      </c>
      <c r="D835" s="20">
        <v>42983</v>
      </c>
      <c r="E835" s="20">
        <v>42978</v>
      </c>
      <c r="F835" s="1" t="s">
        <v>122</v>
      </c>
    </row>
    <row r="836" spans="1:6" x14ac:dyDescent="0.25">
      <c r="A836">
        <v>2535</v>
      </c>
      <c r="B836" t="s">
        <v>35</v>
      </c>
      <c r="C836" s="20">
        <v>42808</v>
      </c>
      <c r="D836" s="20">
        <v>43467</v>
      </c>
      <c r="E836" s="20">
        <v>43539</v>
      </c>
      <c r="F836" s="1" t="s">
        <v>122</v>
      </c>
    </row>
    <row r="837" spans="1:6" x14ac:dyDescent="0.25">
      <c r="A837">
        <v>2536</v>
      </c>
      <c r="B837" t="s">
        <v>136</v>
      </c>
      <c r="C837" s="20">
        <v>42810</v>
      </c>
      <c r="E837" s="20">
        <v>43046</v>
      </c>
      <c r="F837" s="1" t="s">
        <v>122</v>
      </c>
    </row>
    <row r="838" spans="1:6" x14ac:dyDescent="0.25">
      <c r="A838">
        <v>2537</v>
      </c>
      <c r="B838" t="s">
        <v>36</v>
      </c>
      <c r="C838" s="20">
        <v>42917</v>
      </c>
      <c r="E838" s="20"/>
      <c r="F838" s="1" t="s">
        <v>137</v>
      </c>
    </row>
    <row r="839" spans="1:6" x14ac:dyDescent="0.25">
      <c r="A839">
        <v>2538</v>
      </c>
      <c r="B839" t="s">
        <v>32</v>
      </c>
      <c r="C839" s="20">
        <v>42829</v>
      </c>
      <c r="E839" s="20">
        <v>42916</v>
      </c>
      <c r="F839" s="1" t="s">
        <v>122</v>
      </c>
    </row>
    <row r="840" spans="1:6" x14ac:dyDescent="0.25">
      <c r="A840">
        <v>2539</v>
      </c>
      <c r="B840" t="s">
        <v>89</v>
      </c>
      <c r="C840" s="20">
        <v>42829</v>
      </c>
      <c r="E840" s="20"/>
      <c r="F840" s="1" t="s">
        <v>137</v>
      </c>
    </row>
    <row r="841" spans="1:6" x14ac:dyDescent="0.25">
      <c r="A841">
        <v>2540</v>
      </c>
      <c r="B841" t="s">
        <v>862</v>
      </c>
      <c r="C841" s="20">
        <v>42844</v>
      </c>
      <c r="E841" s="20">
        <v>42844</v>
      </c>
      <c r="F841" s="1" t="s">
        <v>122</v>
      </c>
    </row>
    <row r="842" spans="1:6" x14ac:dyDescent="0.25">
      <c r="A842">
        <v>2541</v>
      </c>
      <c r="B842" t="s">
        <v>863</v>
      </c>
      <c r="C842" s="20">
        <v>42844</v>
      </c>
      <c r="E842" s="20">
        <v>42844</v>
      </c>
      <c r="F842" s="1" t="s">
        <v>122</v>
      </c>
    </row>
    <row r="843" spans="1:6" x14ac:dyDescent="0.25">
      <c r="A843">
        <v>2542</v>
      </c>
      <c r="B843" t="s">
        <v>8</v>
      </c>
      <c r="C843" s="20">
        <v>42840</v>
      </c>
      <c r="E843" s="20"/>
      <c r="F843" s="1" t="s">
        <v>137</v>
      </c>
    </row>
    <row r="844" spans="1:6" x14ac:dyDescent="0.25">
      <c r="A844">
        <v>2543</v>
      </c>
      <c r="B844" t="s">
        <v>10</v>
      </c>
      <c r="C844" s="20">
        <v>42840</v>
      </c>
      <c r="E844" s="20"/>
      <c r="F844" s="1" t="s">
        <v>137</v>
      </c>
    </row>
    <row r="845" spans="1:6" x14ac:dyDescent="0.25">
      <c r="A845">
        <v>2544</v>
      </c>
      <c r="B845" t="s">
        <v>91</v>
      </c>
      <c r="C845" s="20">
        <v>42846</v>
      </c>
      <c r="D845" s="20">
        <v>43472</v>
      </c>
      <c r="E845" s="20">
        <v>43530</v>
      </c>
      <c r="F845" s="1" t="s">
        <v>122</v>
      </c>
    </row>
    <row r="846" spans="1:6" x14ac:dyDescent="0.25">
      <c r="A846">
        <v>2545</v>
      </c>
      <c r="B846" t="s">
        <v>9</v>
      </c>
      <c r="C846" s="20">
        <v>42864</v>
      </c>
      <c r="E846" s="20">
        <v>43306</v>
      </c>
      <c r="F846" s="1" t="s">
        <v>122</v>
      </c>
    </row>
    <row r="847" spans="1:6" x14ac:dyDescent="0.25">
      <c r="A847">
        <v>2546</v>
      </c>
      <c r="B847" t="s">
        <v>92</v>
      </c>
      <c r="C847" s="20">
        <v>42893</v>
      </c>
      <c r="E847" s="20"/>
      <c r="F847" s="1" t="s">
        <v>137</v>
      </c>
    </row>
    <row r="848" spans="1:6" x14ac:dyDescent="0.25">
      <c r="A848">
        <v>2547</v>
      </c>
      <c r="B848" t="s">
        <v>38</v>
      </c>
      <c r="C848" s="20">
        <v>42893</v>
      </c>
      <c r="E848" s="20"/>
      <c r="F848" s="1" t="s">
        <v>137</v>
      </c>
    </row>
    <row r="849" spans="1:6" x14ac:dyDescent="0.25">
      <c r="A849">
        <v>2548</v>
      </c>
      <c r="B849" t="s">
        <v>51</v>
      </c>
      <c r="C849" s="20">
        <v>42921</v>
      </c>
      <c r="E849" s="20">
        <v>42947</v>
      </c>
      <c r="F849" s="1" t="s">
        <v>122</v>
      </c>
    </row>
    <row r="850" spans="1:6" x14ac:dyDescent="0.25">
      <c r="A850">
        <v>2549</v>
      </c>
      <c r="B850" t="s">
        <v>944</v>
      </c>
      <c r="C850" s="20">
        <v>42923</v>
      </c>
      <c r="E850" s="20"/>
      <c r="F850" s="1" t="s">
        <v>137</v>
      </c>
    </row>
    <row r="851" spans="1:6" x14ac:dyDescent="0.25">
      <c r="A851">
        <v>2550</v>
      </c>
      <c r="B851" t="s">
        <v>75</v>
      </c>
      <c r="C851" s="20">
        <v>42917</v>
      </c>
      <c r="E851" s="20">
        <v>43100</v>
      </c>
      <c r="F851" s="1" t="s">
        <v>122</v>
      </c>
    </row>
    <row r="852" spans="1:6" x14ac:dyDescent="0.25">
      <c r="A852">
        <v>2551</v>
      </c>
      <c r="B852" t="s">
        <v>76</v>
      </c>
      <c r="C852" s="20">
        <v>42917</v>
      </c>
      <c r="E852" s="20">
        <v>43100</v>
      </c>
      <c r="F852" s="1" t="s">
        <v>122</v>
      </c>
    </row>
    <row r="853" spans="1:6" x14ac:dyDescent="0.25">
      <c r="A853">
        <v>2552</v>
      </c>
      <c r="B853" t="s">
        <v>39</v>
      </c>
      <c r="C853" s="20">
        <v>42917</v>
      </c>
      <c r="E853" s="20">
        <v>43281</v>
      </c>
      <c r="F853" s="1" t="s">
        <v>122</v>
      </c>
    </row>
    <row r="854" spans="1:6" x14ac:dyDescent="0.25">
      <c r="A854">
        <v>2553</v>
      </c>
      <c r="B854" t="s">
        <v>884</v>
      </c>
      <c r="C854" s="20">
        <v>42917</v>
      </c>
      <c r="E854" s="20"/>
      <c r="F854" s="1" t="s">
        <v>137</v>
      </c>
    </row>
    <row r="855" spans="1:6" x14ac:dyDescent="0.25">
      <c r="A855">
        <v>2554</v>
      </c>
      <c r="B855" t="s">
        <v>12</v>
      </c>
      <c r="C855" s="20">
        <v>42856</v>
      </c>
      <c r="E855" s="20"/>
      <c r="F855" s="1" t="s">
        <v>137</v>
      </c>
    </row>
    <row r="856" spans="1:6" x14ac:dyDescent="0.25">
      <c r="A856">
        <v>2555</v>
      </c>
      <c r="B856" t="s">
        <v>864</v>
      </c>
      <c r="C856" s="20">
        <v>41091</v>
      </c>
      <c r="E856" s="20">
        <v>41820</v>
      </c>
      <c r="F856" s="1" t="s">
        <v>122</v>
      </c>
    </row>
    <row r="857" spans="1:6" x14ac:dyDescent="0.25">
      <c r="A857">
        <v>2556</v>
      </c>
      <c r="B857" t="s">
        <v>127</v>
      </c>
      <c r="C857" s="20">
        <v>42944</v>
      </c>
      <c r="E857" s="20">
        <v>43048</v>
      </c>
      <c r="F857" s="1" t="s">
        <v>122</v>
      </c>
    </row>
    <row r="858" spans="1:6" x14ac:dyDescent="0.25">
      <c r="A858">
        <v>2557</v>
      </c>
      <c r="B858" t="s">
        <v>128</v>
      </c>
      <c r="C858" s="20">
        <v>42944</v>
      </c>
      <c r="E858" s="20">
        <v>42958</v>
      </c>
      <c r="F858" s="1" t="s">
        <v>122</v>
      </c>
    </row>
    <row r="859" spans="1:6" x14ac:dyDescent="0.25">
      <c r="A859">
        <v>2558</v>
      </c>
      <c r="B859" t="s">
        <v>865</v>
      </c>
      <c r="C859" s="20">
        <v>41730</v>
      </c>
      <c r="E859" s="20">
        <v>41790</v>
      </c>
      <c r="F859" s="1" t="s">
        <v>122</v>
      </c>
    </row>
    <row r="860" spans="1:6" x14ac:dyDescent="0.25">
      <c r="A860">
        <v>2559</v>
      </c>
      <c r="B860" t="s">
        <v>60</v>
      </c>
      <c r="C860" s="20">
        <v>42912</v>
      </c>
      <c r="D860" s="20">
        <v>43367</v>
      </c>
      <c r="E860" s="20">
        <v>43474</v>
      </c>
      <c r="F860" s="1" t="s">
        <v>122</v>
      </c>
    </row>
    <row r="861" spans="1:6" x14ac:dyDescent="0.25">
      <c r="A861">
        <v>2560</v>
      </c>
      <c r="B861" t="s">
        <v>79</v>
      </c>
      <c r="C861" s="20">
        <v>42912</v>
      </c>
      <c r="E861" s="20"/>
      <c r="F861" s="1" t="s">
        <v>137</v>
      </c>
    </row>
    <row r="862" spans="1:6" x14ac:dyDescent="0.25">
      <c r="A862">
        <v>2561</v>
      </c>
      <c r="B862" t="s">
        <v>68</v>
      </c>
      <c r="C862" s="20">
        <v>42912</v>
      </c>
      <c r="E862" s="20"/>
      <c r="F862" s="1" t="s">
        <v>137</v>
      </c>
    </row>
    <row r="863" spans="1:6" x14ac:dyDescent="0.25">
      <c r="A863">
        <v>2562</v>
      </c>
      <c r="B863" t="s">
        <v>67</v>
      </c>
      <c r="C863" s="20">
        <v>42912</v>
      </c>
      <c r="E863" s="20"/>
      <c r="F863" s="1" t="s">
        <v>137</v>
      </c>
    </row>
    <row r="864" spans="1:6" x14ac:dyDescent="0.25">
      <c r="A864">
        <v>2563</v>
      </c>
      <c r="B864" t="s">
        <v>80</v>
      </c>
      <c r="C864" s="20">
        <v>42912</v>
      </c>
      <c r="E864" s="20"/>
      <c r="F864" s="1" t="s">
        <v>137</v>
      </c>
    </row>
    <row r="865" spans="1:6" x14ac:dyDescent="0.25">
      <c r="A865">
        <v>2564</v>
      </c>
      <c r="B865" t="s">
        <v>98</v>
      </c>
      <c r="C865" s="20">
        <v>42912</v>
      </c>
      <c r="E865" s="20"/>
      <c r="F865" s="1" t="s">
        <v>137</v>
      </c>
    </row>
    <row r="866" spans="1:6" x14ac:dyDescent="0.25">
      <c r="A866">
        <v>2565</v>
      </c>
      <c r="B866" t="s">
        <v>48</v>
      </c>
      <c r="C866" s="20">
        <v>42912</v>
      </c>
      <c r="E866" s="20"/>
      <c r="F866" s="1" t="s">
        <v>137</v>
      </c>
    </row>
    <row r="867" spans="1:6" x14ac:dyDescent="0.25">
      <c r="A867">
        <v>2566</v>
      </c>
      <c r="B867" t="s">
        <v>49</v>
      </c>
      <c r="C867" s="20">
        <v>42912</v>
      </c>
      <c r="E867" s="20"/>
      <c r="F867" s="1" t="s">
        <v>137</v>
      </c>
    </row>
    <row r="868" spans="1:6" x14ac:dyDescent="0.25">
      <c r="A868">
        <v>2567</v>
      </c>
      <c r="B868" t="s">
        <v>50</v>
      </c>
      <c r="C868" s="20">
        <v>42985</v>
      </c>
      <c r="E868" s="20">
        <v>43039</v>
      </c>
      <c r="F868" s="1" t="s">
        <v>122</v>
      </c>
    </row>
    <row r="869" spans="1:6" x14ac:dyDescent="0.25">
      <c r="A869">
        <v>2568</v>
      </c>
      <c r="B869" t="s">
        <v>52</v>
      </c>
      <c r="C869" s="20">
        <v>43007</v>
      </c>
      <c r="E869" s="20">
        <v>43038</v>
      </c>
      <c r="F869" s="1" t="s">
        <v>122</v>
      </c>
    </row>
    <row r="870" spans="1:6" x14ac:dyDescent="0.25">
      <c r="A870">
        <v>2569</v>
      </c>
      <c r="B870" t="s">
        <v>94</v>
      </c>
      <c r="C870" s="20">
        <v>43009</v>
      </c>
      <c r="D870" s="20">
        <v>43432</v>
      </c>
      <c r="E870" s="20">
        <v>43539</v>
      </c>
      <c r="F870" s="1" t="s">
        <v>122</v>
      </c>
    </row>
    <row r="871" spans="1:6" x14ac:dyDescent="0.25">
      <c r="A871">
        <v>2570</v>
      </c>
      <c r="B871" t="s">
        <v>95</v>
      </c>
      <c r="C871" s="20">
        <v>43009</v>
      </c>
      <c r="D871" s="20">
        <v>43496</v>
      </c>
      <c r="E871" s="20">
        <v>43530</v>
      </c>
      <c r="F871" s="1" t="s">
        <v>122</v>
      </c>
    </row>
    <row r="872" spans="1:6" x14ac:dyDescent="0.25">
      <c r="A872">
        <v>2571</v>
      </c>
      <c r="B872" t="s">
        <v>61</v>
      </c>
      <c r="C872" s="20">
        <v>43027</v>
      </c>
      <c r="D872" s="20">
        <v>43068</v>
      </c>
      <c r="E872" s="20">
        <v>43503</v>
      </c>
      <c r="F872" s="1" t="s">
        <v>122</v>
      </c>
    </row>
    <row r="873" spans="1:6" x14ac:dyDescent="0.25">
      <c r="A873">
        <v>2572</v>
      </c>
      <c r="B873" t="s">
        <v>63</v>
      </c>
      <c r="C873" s="20">
        <v>43027</v>
      </c>
      <c r="E873" s="20">
        <v>43306</v>
      </c>
      <c r="F873" s="1" t="s">
        <v>122</v>
      </c>
    </row>
    <row r="874" spans="1:6" x14ac:dyDescent="0.25">
      <c r="A874">
        <v>2573</v>
      </c>
      <c r="B874" t="s">
        <v>62</v>
      </c>
      <c r="C874" s="20">
        <v>43023</v>
      </c>
      <c r="E874" s="20">
        <v>43129</v>
      </c>
      <c r="F874" s="1" t="s">
        <v>122</v>
      </c>
    </row>
    <row r="875" spans="1:6" x14ac:dyDescent="0.25">
      <c r="A875">
        <v>2574</v>
      </c>
      <c r="B875" t="s">
        <v>64</v>
      </c>
      <c r="C875" s="20">
        <v>43040</v>
      </c>
      <c r="E875" s="20">
        <v>43088</v>
      </c>
      <c r="F875" s="1" t="s">
        <v>122</v>
      </c>
    </row>
    <row r="876" spans="1:6" x14ac:dyDescent="0.25">
      <c r="A876">
        <v>2575</v>
      </c>
      <c r="B876" t="s">
        <v>72</v>
      </c>
      <c r="C876" s="20">
        <v>43088</v>
      </c>
      <c r="E876" s="20"/>
      <c r="F876" s="1" t="s">
        <v>137</v>
      </c>
    </row>
    <row r="877" spans="1:6" x14ac:dyDescent="0.25">
      <c r="A877">
        <v>2576</v>
      </c>
      <c r="B877" t="s">
        <v>70</v>
      </c>
      <c r="C877" s="20">
        <v>43091</v>
      </c>
      <c r="E877" s="20"/>
      <c r="F877" s="1" t="s">
        <v>137</v>
      </c>
    </row>
    <row r="878" spans="1:6" x14ac:dyDescent="0.25">
      <c r="A878">
        <v>2577</v>
      </c>
      <c r="B878" t="s">
        <v>69</v>
      </c>
      <c r="C878" s="20">
        <v>43091</v>
      </c>
      <c r="E878" s="20"/>
      <c r="F878" s="1" t="s">
        <v>137</v>
      </c>
    </row>
    <row r="879" spans="1:6" x14ac:dyDescent="0.25">
      <c r="A879">
        <v>2578</v>
      </c>
      <c r="B879" t="s">
        <v>21</v>
      </c>
      <c r="C879" s="20">
        <v>43101</v>
      </c>
      <c r="E879" s="20"/>
      <c r="F879" s="1" t="s">
        <v>137</v>
      </c>
    </row>
    <row r="880" spans="1:6" x14ac:dyDescent="0.25">
      <c r="A880">
        <v>2579</v>
      </c>
      <c r="B880" t="s">
        <v>73</v>
      </c>
      <c r="C880" s="20">
        <v>42724</v>
      </c>
      <c r="D880" s="20">
        <v>43158</v>
      </c>
      <c r="E880" s="20">
        <v>43281</v>
      </c>
      <c r="F880" s="1" t="s">
        <v>122</v>
      </c>
    </row>
    <row r="881" spans="1:6" x14ac:dyDescent="0.25">
      <c r="A881">
        <v>2580</v>
      </c>
      <c r="B881" t="s">
        <v>77</v>
      </c>
      <c r="C881" s="20">
        <v>43101</v>
      </c>
      <c r="E881" s="20"/>
      <c r="F881" s="1" t="s">
        <v>137</v>
      </c>
    </row>
    <row r="882" spans="1:6" x14ac:dyDescent="0.25">
      <c r="A882">
        <v>2581</v>
      </c>
      <c r="B882" t="s">
        <v>78</v>
      </c>
      <c r="C882" s="20">
        <v>43101</v>
      </c>
      <c r="E882" s="20"/>
      <c r="F882" s="1" t="s">
        <v>137</v>
      </c>
    </row>
    <row r="883" spans="1:6" x14ac:dyDescent="0.25">
      <c r="A883">
        <v>2582</v>
      </c>
      <c r="B883" t="s">
        <v>99</v>
      </c>
      <c r="C883" s="20">
        <v>43132</v>
      </c>
      <c r="E883" s="20"/>
      <c r="F883" s="1" t="s">
        <v>137</v>
      </c>
    </row>
    <row r="884" spans="1:6" x14ac:dyDescent="0.25">
      <c r="A884">
        <v>2583</v>
      </c>
      <c r="B884" t="s">
        <v>116</v>
      </c>
      <c r="C884" s="20">
        <v>43168</v>
      </c>
      <c r="D884" s="20">
        <v>43181</v>
      </c>
      <c r="E884" s="20">
        <v>43424</v>
      </c>
      <c r="F884" s="1" t="s">
        <v>122</v>
      </c>
    </row>
    <row r="885" spans="1:6" x14ac:dyDescent="0.25">
      <c r="A885">
        <v>2584</v>
      </c>
      <c r="B885" t="s">
        <v>119</v>
      </c>
      <c r="C885" s="20">
        <v>43182</v>
      </c>
      <c r="E885" s="20"/>
      <c r="F885" s="1" t="s">
        <v>137</v>
      </c>
    </row>
    <row r="886" spans="1:6" x14ac:dyDescent="0.25">
      <c r="A886">
        <v>2585</v>
      </c>
      <c r="B886" t="s">
        <v>117</v>
      </c>
      <c r="C886" s="20">
        <v>43200</v>
      </c>
      <c r="D886" s="20">
        <v>43318</v>
      </c>
      <c r="E886" s="20">
        <v>43336</v>
      </c>
      <c r="F886" s="1" t="s">
        <v>122</v>
      </c>
    </row>
    <row r="887" spans="1:6" x14ac:dyDescent="0.25">
      <c r="A887">
        <v>2586</v>
      </c>
      <c r="B887" t="s">
        <v>123</v>
      </c>
      <c r="C887" s="20">
        <v>43221</v>
      </c>
      <c r="D887" s="20">
        <v>43480</v>
      </c>
      <c r="E887" s="20">
        <v>43661</v>
      </c>
      <c r="F887" s="1" t="s">
        <v>122</v>
      </c>
    </row>
    <row r="888" spans="1:6" x14ac:dyDescent="0.25">
      <c r="A888">
        <v>2587</v>
      </c>
      <c r="B888" t="s">
        <v>125</v>
      </c>
      <c r="C888" s="20">
        <v>43235</v>
      </c>
      <c r="E888" s="20"/>
      <c r="F888" s="1" t="s">
        <v>137</v>
      </c>
    </row>
    <row r="889" spans="1:6" x14ac:dyDescent="0.25">
      <c r="A889">
        <v>2588</v>
      </c>
      <c r="B889" t="s">
        <v>126</v>
      </c>
      <c r="C889" s="20">
        <v>43270</v>
      </c>
      <c r="D889" s="20">
        <v>43455</v>
      </c>
      <c r="E889" s="20">
        <v>43532</v>
      </c>
      <c r="F889" s="1" t="s">
        <v>122</v>
      </c>
    </row>
    <row r="890" spans="1:6" x14ac:dyDescent="0.25">
      <c r="A890">
        <v>2589</v>
      </c>
      <c r="B890" t="s">
        <v>878</v>
      </c>
      <c r="C890" s="20">
        <v>43182</v>
      </c>
      <c r="E890" s="20"/>
      <c r="F890" s="1" t="s">
        <v>137</v>
      </c>
    </row>
    <row r="891" spans="1:6" x14ac:dyDescent="0.25">
      <c r="A891">
        <v>2590</v>
      </c>
      <c r="B891" t="s">
        <v>124</v>
      </c>
      <c r="C891" s="20">
        <v>43235</v>
      </c>
      <c r="E891" s="20"/>
      <c r="F891" s="1" t="s">
        <v>137</v>
      </c>
    </row>
    <row r="892" spans="1:6" x14ac:dyDescent="0.25">
      <c r="A892">
        <v>2591</v>
      </c>
      <c r="B892" t="s">
        <v>866</v>
      </c>
      <c r="C892" s="20">
        <v>43278</v>
      </c>
      <c r="D892" s="20">
        <v>43447</v>
      </c>
      <c r="E892" s="20">
        <v>43661</v>
      </c>
      <c r="F892" s="1" t="s">
        <v>122</v>
      </c>
    </row>
    <row r="893" spans="1:6" x14ac:dyDescent="0.25">
      <c r="A893">
        <v>2592</v>
      </c>
      <c r="B893" t="s">
        <v>876</v>
      </c>
      <c r="C893" s="20">
        <v>43282</v>
      </c>
      <c r="D893" s="20">
        <v>43462</v>
      </c>
      <c r="E893" s="20">
        <v>43503</v>
      </c>
      <c r="F893" s="1" t="s">
        <v>122</v>
      </c>
    </row>
    <row r="894" spans="1:6" x14ac:dyDescent="0.25">
      <c r="A894">
        <v>2593</v>
      </c>
      <c r="B894" t="s">
        <v>877</v>
      </c>
      <c r="C894" s="20">
        <v>43282</v>
      </c>
      <c r="D894" s="20">
        <v>43461</v>
      </c>
      <c r="E894" s="20">
        <v>43503</v>
      </c>
      <c r="F894" s="1" t="s">
        <v>122</v>
      </c>
    </row>
    <row r="895" spans="1:6" x14ac:dyDescent="0.25">
      <c r="A895">
        <v>2594</v>
      </c>
      <c r="B895" t="s">
        <v>90</v>
      </c>
      <c r="C895" s="20">
        <v>43101</v>
      </c>
      <c r="D895" s="20">
        <v>43412</v>
      </c>
      <c r="E895" s="20">
        <v>43530</v>
      </c>
      <c r="F895" s="1" t="s">
        <v>122</v>
      </c>
    </row>
    <row r="896" spans="1:6" x14ac:dyDescent="0.25">
      <c r="A896">
        <v>2595</v>
      </c>
      <c r="B896" t="s">
        <v>879</v>
      </c>
      <c r="C896" s="20">
        <v>43283</v>
      </c>
      <c r="D896" s="20">
        <v>43647</v>
      </c>
      <c r="E896" s="20"/>
      <c r="F896" s="1" t="s">
        <v>137</v>
      </c>
    </row>
    <row r="897" spans="1:6" x14ac:dyDescent="0.25">
      <c r="A897">
        <v>2596</v>
      </c>
      <c r="B897" t="s">
        <v>885</v>
      </c>
      <c r="C897" s="20">
        <v>43298</v>
      </c>
      <c r="D897" s="20">
        <v>43358</v>
      </c>
      <c r="E897" s="20">
        <v>43628</v>
      </c>
      <c r="F897" s="1" t="s">
        <v>122</v>
      </c>
    </row>
    <row r="898" spans="1:6" x14ac:dyDescent="0.25">
      <c r="A898">
        <v>2597</v>
      </c>
      <c r="B898" t="s">
        <v>881</v>
      </c>
      <c r="C898" s="20">
        <v>43282</v>
      </c>
      <c r="D898" s="20">
        <v>43634</v>
      </c>
      <c r="E898" s="20">
        <v>43655</v>
      </c>
      <c r="F898" s="1" t="s">
        <v>122</v>
      </c>
    </row>
    <row r="899" spans="1:6" x14ac:dyDescent="0.25">
      <c r="A899">
        <v>2598</v>
      </c>
      <c r="B899" t="s">
        <v>882</v>
      </c>
      <c r="C899" s="20">
        <v>43282</v>
      </c>
      <c r="D899" s="20">
        <v>43538</v>
      </c>
      <c r="E899" s="20">
        <v>43655</v>
      </c>
      <c r="F899" s="1" t="s">
        <v>122</v>
      </c>
    </row>
    <row r="900" spans="1:6" x14ac:dyDescent="0.25">
      <c r="A900">
        <v>2599</v>
      </c>
      <c r="B900" t="s">
        <v>883</v>
      </c>
      <c r="C900" s="20">
        <v>43297</v>
      </c>
      <c r="D900" s="20">
        <v>43305</v>
      </c>
      <c r="E900" s="20">
        <v>43661</v>
      </c>
      <c r="F900" s="1" t="s">
        <v>122</v>
      </c>
    </row>
    <row r="901" spans="1:6" x14ac:dyDescent="0.25">
      <c r="A901">
        <v>2600</v>
      </c>
      <c r="B901" t="s">
        <v>910</v>
      </c>
      <c r="C901" s="20">
        <v>43283</v>
      </c>
      <c r="E901" s="20"/>
      <c r="F901" s="1" t="s">
        <v>137</v>
      </c>
    </row>
    <row r="902" spans="1:6" x14ac:dyDescent="0.25">
      <c r="A902">
        <v>2601</v>
      </c>
      <c r="B902" t="s">
        <v>912</v>
      </c>
      <c r="C902" s="20">
        <v>43283</v>
      </c>
      <c r="E902" s="20"/>
      <c r="F902" s="1" t="s">
        <v>137</v>
      </c>
    </row>
    <row r="903" spans="1:6" x14ac:dyDescent="0.25">
      <c r="A903">
        <v>2602</v>
      </c>
      <c r="B903" t="s">
        <v>913</v>
      </c>
      <c r="C903" s="20">
        <v>43283</v>
      </c>
      <c r="E903" s="20"/>
      <c r="F903" s="1" t="s">
        <v>137</v>
      </c>
    </row>
    <row r="904" spans="1:6" x14ac:dyDescent="0.25">
      <c r="A904">
        <v>2603</v>
      </c>
      <c r="B904" t="s">
        <v>914</v>
      </c>
      <c r="C904" s="20">
        <v>43283</v>
      </c>
      <c r="E904" s="20"/>
      <c r="F904" s="1" t="s">
        <v>137</v>
      </c>
    </row>
    <row r="905" spans="1:6" x14ac:dyDescent="0.25">
      <c r="A905">
        <v>2604</v>
      </c>
      <c r="B905" t="s">
        <v>915</v>
      </c>
      <c r="C905" s="20">
        <v>43283</v>
      </c>
      <c r="E905" s="20"/>
      <c r="F905" s="1" t="s">
        <v>137</v>
      </c>
    </row>
    <row r="906" spans="1:6" x14ac:dyDescent="0.25">
      <c r="A906">
        <v>2605</v>
      </c>
      <c r="B906" t="s">
        <v>916</v>
      </c>
      <c r="C906" s="20">
        <v>43283</v>
      </c>
      <c r="E906" s="20"/>
      <c r="F906" s="1" t="s">
        <v>137</v>
      </c>
    </row>
    <row r="907" spans="1:6" x14ac:dyDescent="0.25">
      <c r="A907">
        <v>2606</v>
      </c>
      <c r="B907" t="s">
        <v>918</v>
      </c>
      <c r="C907" s="20">
        <v>43283</v>
      </c>
      <c r="E907" s="20"/>
      <c r="F907" s="1" t="s">
        <v>137</v>
      </c>
    </row>
    <row r="908" spans="1:6" x14ac:dyDescent="0.25">
      <c r="A908">
        <v>2607</v>
      </c>
      <c r="B908" t="s">
        <v>919</v>
      </c>
      <c r="C908" s="20">
        <v>43283</v>
      </c>
      <c r="E908" s="20"/>
      <c r="F908" s="1" t="s">
        <v>137</v>
      </c>
    </row>
    <row r="909" spans="1:6" x14ac:dyDescent="0.25">
      <c r="A909">
        <v>2608</v>
      </c>
      <c r="B909" t="s">
        <v>917</v>
      </c>
      <c r="C909" s="20">
        <v>43283</v>
      </c>
      <c r="E909" s="20"/>
      <c r="F909" s="1" t="s">
        <v>137</v>
      </c>
    </row>
    <row r="910" spans="1:6" x14ac:dyDescent="0.25">
      <c r="A910">
        <v>2609</v>
      </c>
      <c r="B910" t="s">
        <v>921</v>
      </c>
      <c r="C910" s="20">
        <v>43344</v>
      </c>
      <c r="D910" s="20">
        <v>43418</v>
      </c>
      <c r="E910" s="20">
        <v>43678</v>
      </c>
      <c r="F910" s="1" t="s">
        <v>122</v>
      </c>
    </row>
    <row r="911" spans="1:6" x14ac:dyDescent="0.25">
      <c r="A911">
        <v>2610</v>
      </c>
      <c r="B911" t="s">
        <v>922</v>
      </c>
      <c r="C911" s="20">
        <v>43355</v>
      </c>
      <c r="D911" s="20">
        <v>43379</v>
      </c>
      <c r="E911" s="20">
        <v>43424</v>
      </c>
      <c r="F911" s="1" t="s">
        <v>122</v>
      </c>
    </row>
    <row r="912" spans="1:6" x14ac:dyDescent="0.25">
      <c r="A912">
        <v>2611</v>
      </c>
      <c r="B912" t="s">
        <v>923</v>
      </c>
      <c r="C912" s="20">
        <v>43374</v>
      </c>
      <c r="E912" s="20"/>
      <c r="F912" s="1" t="s">
        <v>137</v>
      </c>
    </row>
    <row r="913" spans="1:6" x14ac:dyDescent="0.25">
      <c r="A913">
        <v>2612</v>
      </c>
      <c r="B913" t="s">
        <v>924</v>
      </c>
      <c r="C913" s="20">
        <v>43344</v>
      </c>
      <c r="D913" s="20">
        <v>43447</v>
      </c>
      <c r="E913" s="20">
        <v>43474</v>
      </c>
      <c r="F913" s="1" t="s">
        <v>122</v>
      </c>
    </row>
    <row r="914" spans="1:6" x14ac:dyDescent="0.25">
      <c r="A914">
        <v>2613</v>
      </c>
      <c r="B914" t="s">
        <v>925</v>
      </c>
      <c r="C914" s="20">
        <v>43374</v>
      </c>
      <c r="D914" s="20">
        <v>43419</v>
      </c>
      <c r="E914" s="20">
        <v>43595</v>
      </c>
      <c r="F914" s="1" t="s">
        <v>122</v>
      </c>
    </row>
    <row r="915" spans="1:6" x14ac:dyDescent="0.25">
      <c r="A915">
        <v>2614</v>
      </c>
      <c r="B915" t="s">
        <v>926</v>
      </c>
      <c r="C915" s="20">
        <v>43344</v>
      </c>
      <c r="E915" s="20"/>
      <c r="F915" s="1" t="s">
        <v>137</v>
      </c>
    </row>
    <row r="916" spans="1:6" x14ac:dyDescent="0.25">
      <c r="A916">
        <v>2615</v>
      </c>
      <c r="B916" t="s">
        <v>927</v>
      </c>
      <c r="C916" s="20">
        <v>43374</v>
      </c>
      <c r="E916" s="20"/>
      <c r="F916" s="1" t="s">
        <v>137</v>
      </c>
    </row>
    <row r="917" spans="1:6" x14ac:dyDescent="0.25">
      <c r="A917">
        <v>2616</v>
      </c>
      <c r="B917" t="s">
        <v>928</v>
      </c>
      <c r="C917" s="20">
        <v>43374</v>
      </c>
      <c r="D917" s="20">
        <v>43571</v>
      </c>
      <c r="E917" s="20">
        <v>43628</v>
      </c>
      <c r="F917" s="1" t="s">
        <v>122</v>
      </c>
    </row>
    <row r="918" spans="1:6" x14ac:dyDescent="0.25">
      <c r="A918">
        <v>2617</v>
      </c>
      <c r="B918" t="s">
        <v>929</v>
      </c>
      <c r="C918" s="20">
        <v>43382</v>
      </c>
      <c r="E918" s="20"/>
      <c r="F918" s="1" t="s">
        <v>137</v>
      </c>
    </row>
    <row r="919" spans="1:6" x14ac:dyDescent="0.25">
      <c r="A919">
        <v>2618</v>
      </c>
      <c r="B919" t="s">
        <v>930</v>
      </c>
      <c r="C919" s="20">
        <v>43418</v>
      </c>
      <c r="D919" s="20">
        <v>43557</v>
      </c>
      <c r="E919" s="20">
        <v>43649</v>
      </c>
      <c r="F919" s="1" t="s">
        <v>122</v>
      </c>
    </row>
    <row r="920" spans="1:6" x14ac:dyDescent="0.25">
      <c r="A920">
        <v>2619</v>
      </c>
      <c r="B920" t="s">
        <v>931</v>
      </c>
      <c r="C920" s="20">
        <v>43423</v>
      </c>
      <c r="D920" s="20">
        <v>43433</v>
      </c>
      <c r="E920" s="20">
        <v>43661</v>
      </c>
      <c r="F920" s="1" t="s">
        <v>122</v>
      </c>
    </row>
    <row r="921" spans="1:6" x14ac:dyDescent="0.25">
      <c r="A921">
        <v>2620</v>
      </c>
      <c r="B921" t="s">
        <v>940</v>
      </c>
      <c r="C921" s="20">
        <v>43405</v>
      </c>
      <c r="D921" s="20">
        <v>43497</v>
      </c>
      <c r="E921" s="20">
        <v>43595</v>
      </c>
      <c r="F921" s="1" t="s">
        <v>122</v>
      </c>
    </row>
    <row r="922" spans="1:6" x14ac:dyDescent="0.25">
      <c r="A922">
        <v>2621</v>
      </c>
      <c r="B922" t="s">
        <v>932</v>
      </c>
      <c r="C922" s="20">
        <v>43420</v>
      </c>
      <c r="D922" s="20">
        <v>43503</v>
      </c>
      <c r="E922" s="20">
        <v>43595</v>
      </c>
      <c r="F922" s="1" t="s">
        <v>122</v>
      </c>
    </row>
    <row r="923" spans="1:6" x14ac:dyDescent="0.25">
      <c r="A923">
        <v>2622</v>
      </c>
      <c r="B923" t="s">
        <v>939</v>
      </c>
      <c r="C923" s="20">
        <v>43466</v>
      </c>
      <c r="E923" s="20"/>
      <c r="F923" s="1" t="s">
        <v>137</v>
      </c>
    </row>
    <row r="924" spans="1:6" x14ac:dyDescent="0.25">
      <c r="A924">
        <v>2623</v>
      </c>
      <c r="B924" t="s">
        <v>938</v>
      </c>
      <c r="C924" s="20">
        <v>43466</v>
      </c>
      <c r="E924" s="20"/>
      <c r="F924" s="1" t="s">
        <v>137</v>
      </c>
    </row>
    <row r="925" spans="1:6" x14ac:dyDescent="0.25">
      <c r="A925">
        <v>2624</v>
      </c>
      <c r="B925" t="s">
        <v>933</v>
      </c>
      <c r="C925" s="20">
        <v>43435</v>
      </c>
      <c r="E925" s="20"/>
      <c r="F925" s="1" t="s">
        <v>137</v>
      </c>
    </row>
    <row r="926" spans="1:6" x14ac:dyDescent="0.25">
      <c r="A926">
        <v>2625</v>
      </c>
      <c r="B926" t="s">
        <v>934</v>
      </c>
      <c r="C926" s="20">
        <v>43466</v>
      </c>
      <c r="D926" s="20">
        <v>43557</v>
      </c>
      <c r="E926" s="20">
        <v>43595</v>
      </c>
      <c r="F926" s="1" t="s">
        <v>122</v>
      </c>
    </row>
    <row r="927" spans="1:6" x14ac:dyDescent="0.25">
      <c r="A927">
        <v>2626</v>
      </c>
      <c r="B927" t="s">
        <v>941</v>
      </c>
      <c r="C927" s="20">
        <v>43466</v>
      </c>
      <c r="D927" s="20">
        <v>43495</v>
      </c>
      <c r="E927" s="20">
        <v>43664</v>
      </c>
      <c r="F927" s="1" t="s">
        <v>122</v>
      </c>
    </row>
    <row r="928" spans="1:6" x14ac:dyDescent="0.25">
      <c r="A928">
        <v>2627</v>
      </c>
      <c r="B928" t="s">
        <v>935</v>
      </c>
      <c r="C928" s="20">
        <v>43435</v>
      </c>
      <c r="E928" s="20"/>
      <c r="F928" s="1" t="s">
        <v>137</v>
      </c>
    </row>
    <row r="929" spans="1:6" x14ac:dyDescent="0.25">
      <c r="A929">
        <v>2628</v>
      </c>
      <c r="B929" t="s">
        <v>936</v>
      </c>
      <c r="C929" s="20">
        <v>43435</v>
      </c>
      <c r="D929" s="20">
        <v>43447</v>
      </c>
      <c r="E929" s="20">
        <v>43595</v>
      </c>
      <c r="F929" s="1" t="s">
        <v>122</v>
      </c>
    </row>
    <row r="930" spans="1:6" x14ac:dyDescent="0.25">
      <c r="A930">
        <v>2629</v>
      </c>
      <c r="B930" t="s">
        <v>937</v>
      </c>
      <c r="C930" s="20">
        <v>43435</v>
      </c>
      <c r="D930" s="20">
        <v>43480</v>
      </c>
      <c r="E930" s="20">
        <v>43595</v>
      </c>
      <c r="F930" s="1" t="s">
        <v>122</v>
      </c>
    </row>
    <row r="931" spans="1:6" x14ac:dyDescent="0.25">
      <c r="A931">
        <v>2630</v>
      </c>
      <c r="B931" t="s">
        <v>942</v>
      </c>
      <c r="C931" s="20">
        <v>43497</v>
      </c>
      <c r="E931" s="20"/>
      <c r="F931" s="1" t="s">
        <v>137</v>
      </c>
    </row>
    <row r="932" spans="1:6" x14ac:dyDescent="0.25">
      <c r="A932">
        <v>2631</v>
      </c>
      <c r="B932" t="s">
        <v>31</v>
      </c>
      <c r="C932" s="20">
        <v>43497</v>
      </c>
      <c r="D932" s="20">
        <v>43571</v>
      </c>
      <c r="E932" s="20">
        <v>43595</v>
      </c>
      <c r="F932" s="1" t="s">
        <v>122</v>
      </c>
    </row>
    <row r="933" spans="1:6" x14ac:dyDescent="0.25">
      <c r="A933">
        <v>2632</v>
      </c>
      <c r="B933" t="s">
        <v>945</v>
      </c>
      <c r="C933" s="20">
        <v>43557</v>
      </c>
      <c r="E933" s="20"/>
      <c r="F933" s="1" t="s">
        <v>137</v>
      </c>
    </row>
    <row r="934" spans="1:6" x14ac:dyDescent="0.25">
      <c r="A934">
        <v>2633</v>
      </c>
      <c r="B934" t="s">
        <v>954</v>
      </c>
      <c r="C934" s="20">
        <v>43579</v>
      </c>
      <c r="D934" s="20">
        <v>43619</v>
      </c>
      <c r="E934" s="20">
        <v>43677</v>
      </c>
      <c r="F934" s="1" t="s">
        <v>122</v>
      </c>
    </row>
    <row r="935" spans="1:6" x14ac:dyDescent="0.25">
      <c r="A935">
        <v>2634</v>
      </c>
      <c r="B935" t="s">
        <v>955</v>
      </c>
      <c r="C935" s="20">
        <v>43588</v>
      </c>
      <c r="D935" s="20">
        <v>43607</v>
      </c>
      <c r="E935" s="20">
        <v>43677</v>
      </c>
      <c r="F935" s="1" t="s">
        <v>122</v>
      </c>
    </row>
    <row r="936" spans="1:6" x14ac:dyDescent="0.25">
      <c r="A936">
        <v>2635</v>
      </c>
      <c r="B936" t="s">
        <v>956</v>
      </c>
      <c r="C936" s="20">
        <v>43586</v>
      </c>
      <c r="E936" s="20"/>
      <c r="F936" s="1" t="s">
        <v>137</v>
      </c>
    </row>
    <row r="937" spans="1:6" x14ac:dyDescent="0.25">
      <c r="A937">
        <v>2636</v>
      </c>
      <c r="B937" t="s">
        <v>957</v>
      </c>
      <c r="C937" s="20">
        <v>43594</v>
      </c>
      <c r="E937" s="20"/>
      <c r="F937" s="1" t="s">
        <v>137</v>
      </c>
    </row>
    <row r="938" spans="1:6" x14ac:dyDescent="0.25">
      <c r="A938">
        <v>2637</v>
      </c>
      <c r="B938" t="s">
        <v>958</v>
      </c>
      <c r="C938" s="20">
        <v>43599</v>
      </c>
      <c r="E938" s="20"/>
      <c r="F938" s="1" t="s">
        <v>137</v>
      </c>
    </row>
    <row r="939" spans="1:6" x14ac:dyDescent="0.25">
      <c r="A939">
        <v>2638</v>
      </c>
      <c r="B939" t="s">
        <v>965</v>
      </c>
      <c r="C939" s="20">
        <v>43647</v>
      </c>
      <c r="E939" s="20"/>
      <c r="F939" s="1" t="s">
        <v>137</v>
      </c>
    </row>
    <row r="940" spans="1:6" x14ac:dyDescent="0.25">
      <c r="A940">
        <v>2639</v>
      </c>
      <c r="B940" t="s">
        <v>966</v>
      </c>
      <c r="C940" s="20">
        <v>43647</v>
      </c>
      <c r="E940" s="20"/>
      <c r="F940" s="1" t="s">
        <v>137</v>
      </c>
    </row>
    <row r="941" spans="1:6" x14ac:dyDescent="0.25">
      <c r="A941">
        <v>2640</v>
      </c>
      <c r="B941" t="s">
        <v>976</v>
      </c>
      <c r="C941" s="20">
        <v>43647</v>
      </c>
      <c r="D941" s="20">
        <v>44012</v>
      </c>
      <c r="E941" s="20"/>
      <c r="F941" s="1" t="s">
        <v>138</v>
      </c>
    </row>
    <row r="942" spans="1:6" x14ac:dyDescent="0.25">
      <c r="A942">
        <v>2641</v>
      </c>
      <c r="B942" t="s">
        <v>975</v>
      </c>
      <c r="C942" s="20">
        <v>43647</v>
      </c>
      <c r="D942" s="20">
        <v>44012</v>
      </c>
      <c r="E942" s="20"/>
      <c r="F942" s="1" t="s">
        <v>138</v>
      </c>
    </row>
    <row r="943" spans="1:6" x14ac:dyDescent="0.25">
      <c r="A943">
        <v>2642</v>
      </c>
      <c r="B943" t="s">
        <v>977</v>
      </c>
      <c r="C943" s="20">
        <v>43647</v>
      </c>
      <c r="D943" s="20">
        <v>44012</v>
      </c>
      <c r="E943" s="20"/>
      <c r="F943" s="1" t="s">
        <v>138</v>
      </c>
    </row>
    <row r="944" spans="1:6" x14ac:dyDescent="0.25">
      <c r="A944">
        <v>2643</v>
      </c>
      <c r="B944" t="s">
        <v>978</v>
      </c>
      <c r="C944" s="20">
        <v>43647</v>
      </c>
      <c r="D944" s="20">
        <v>44012</v>
      </c>
      <c r="E944" s="20"/>
      <c r="F944" s="1" t="s">
        <v>138</v>
      </c>
    </row>
    <row r="945" spans="1:6" x14ac:dyDescent="0.25">
      <c r="A945">
        <v>2644</v>
      </c>
      <c r="B945" t="s">
        <v>979</v>
      </c>
      <c r="C945" s="20">
        <v>43647</v>
      </c>
      <c r="D945" s="20">
        <v>44012</v>
      </c>
      <c r="E945" s="20"/>
      <c r="F945" s="1" t="s">
        <v>138</v>
      </c>
    </row>
    <row r="946" spans="1:6" x14ac:dyDescent="0.25">
      <c r="A946">
        <v>2645</v>
      </c>
      <c r="B946" t="s">
        <v>980</v>
      </c>
      <c r="C946" s="20">
        <v>43647</v>
      </c>
      <c r="D946" s="20">
        <v>44012</v>
      </c>
      <c r="E946" s="20"/>
      <c r="F946" s="1" t="s">
        <v>138</v>
      </c>
    </row>
    <row r="947" spans="1:6" x14ac:dyDescent="0.25">
      <c r="A947">
        <v>2646</v>
      </c>
      <c r="B947" t="s">
        <v>981</v>
      </c>
      <c r="C947" s="20">
        <v>43647</v>
      </c>
      <c r="D947" s="20">
        <v>44012</v>
      </c>
      <c r="E947" s="20"/>
      <c r="F947" s="1" t="s">
        <v>138</v>
      </c>
    </row>
    <row r="948" spans="1:6" x14ac:dyDescent="0.25">
      <c r="A948">
        <v>2647</v>
      </c>
      <c r="B948" t="s">
        <v>982</v>
      </c>
      <c r="C948" s="20">
        <v>43647</v>
      </c>
      <c r="D948" s="20">
        <v>44012</v>
      </c>
      <c r="E948" s="20"/>
      <c r="F948" s="1" t="s">
        <v>138</v>
      </c>
    </row>
    <row r="949" spans="1:6" x14ac:dyDescent="0.25">
      <c r="A949">
        <v>2648</v>
      </c>
      <c r="B949" t="s">
        <v>983</v>
      </c>
      <c r="C949" s="20">
        <v>43647</v>
      </c>
      <c r="D949" s="20">
        <v>44012</v>
      </c>
      <c r="E949" s="20"/>
      <c r="F949" s="1" t="s">
        <v>138</v>
      </c>
    </row>
    <row r="950" spans="1:6" x14ac:dyDescent="0.25">
      <c r="A950">
        <v>2649</v>
      </c>
      <c r="B950" t="s">
        <v>984</v>
      </c>
      <c r="C950" s="20">
        <v>43647</v>
      </c>
      <c r="E950" s="20"/>
      <c r="F950" s="1" t="s">
        <v>138</v>
      </c>
    </row>
    <row r="951" spans="1:6" x14ac:dyDescent="0.25">
      <c r="A951">
        <v>2650</v>
      </c>
      <c r="B951" t="s">
        <v>985</v>
      </c>
      <c r="C951" s="20">
        <v>43647</v>
      </c>
      <c r="E951" s="20"/>
      <c r="F951" s="1" t="s">
        <v>138</v>
      </c>
    </row>
    <row r="952" spans="1:6" x14ac:dyDescent="0.25">
      <c r="A952">
        <v>2651</v>
      </c>
      <c r="B952" t="s">
        <v>1031</v>
      </c>
      <c r="C952" s="20">
        <v>43678</v>
      </c>
      <c r="E952" s="20"/>
      <c r="F952" s="1" t="s">
        <v>137</v>
      </c>
    </row>
    <row r="953" spans="1:6" x14ac:dyDescent="0.25">
      <c r="A953">
        <v>2652</v>
      </c>
      <c r="B953" t="s">
        <v>1033</v>
      </c>
      <c r="C953" s="20">
        <v>43692</v>
      </c>
      <c r="E953" s="20"/>
      <c r="F953" s="1" t="s">
        <v>137</v>
      </c>
    </row>
    <row r="954" spans="1:6" x14ac:dyDescent="0.25">
      <c r="A954">
        <v>2653</v>
      </c>
      <c r="B954" t="s">
        <v>1034</v>
      </c>
      <c r="C954" s="20">
        <v>43678</v>
      </c>
      <c r="E954" s="20"/>
      <c r="F954" s="1" t="s">
        <v>137</v>
      </c>
    </row>
    <row r="955" spans="1:6" x14ac:dyDescent="0.25">
      <c r="A955">
        <v>2654</v>
      </c>
      <c r="B955" t="s">
        <v>1035</v>
      </c>
      <c r="C955" s="20">
        <v>43678</v>
      </c>
      <c r="E955" s="20"/>
      <c r="F955" s="1" t="s">
        <v>137</v>
      </c>
    </row>
    <row r="956" spans="1:6" x14ac:dyDescent="0.25">
      <c r="A956" t="s">
        <v>96</v>
      </c>
      <c r="B956" t="s">
        <v>13</v>
      </c>
      <c r="E956" s="20"/>
      <c r="F956" s="1" t="s">
        <v>137</v>
      </c>
    </row>
    <row r="957" spans="1:6" x14ac:dyDescent="0.25">
      <c r="A957" t="s">
        <v>97</v>
      </c>
      <c r="B957" t="s">
        <v>18</v>
      </c>
      <c r="E957" s="20"/>
      <c r="F957" s="1" t="s">
        <v>137</v>
      </c>
    </row>
  </sheetData>
  <sortState xmlns:xlrd2="http://schemas.microsoft.com/office/spreadsheetml/2017/richdata2" ref="A2:C68">
    <sortCondition ref="A2:A68"/>
  </sortState>
  <conditionalFormatting sqref="A1:A1048576">
    <cfRule type="duplicateValues" dxfId="477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2:C30"/>
  <sheetViews>
    <sheetView workbookViewId="0">
      <selection activeCell="A4" sqref="A4"/>
    </sheetView>
  </sheetViews>
  <sheetFormatPr defaultRowHeight="15" x14ac:dyDescent="0.25"/>
  <cols>
    <col min="1" max="1" width="33.85546875" bestFit="1" customWidth="1"/>
    <col min="2" max="2" width="16.28515625" customWidth="1"/>
    <col min="3" max="3" width="11.28515625" bestFit="1" customWidth="1"/>
    <col min="4" max="4" width="11.28515625" customWidth="1"/>
    <col min="5" max="6" width="9.140625" customWidth="1"/>
    <col min="7" max="7" width="10.140625" customWidth="1"/>
    <col min="8" max="8" width="11.28515625" customWidth="1"/>
    <col min="9" max="12" width="9.140625" customWidth="1"/>
    <col min="13" max="13" width="10.140625" customWidth="1"/>
    <col min="14" max="14" width="11.28515625" customWidth="1"/>
    <col min="15" max="17" width="8.7109375" customWidth="1"/>
    <col min="18" max="29" width="9.7109375" customWidth="1"/>
    <col min="30" max="30" width="9.140625" customWidth="1"/>
    <col min="31" max="31" width="10.140625" customWidth="1"/>
    <col min="32" max="32" width="11.28515625" customWidth="1"/>
    <col min="33" max="33" width="9.7109375" customWidth="1"/>
    <col min="34" max="34" width="9.42578125" customWidth="1"/>
    <col min="35" max="40" width="8.7109375" customWidth="1"/>
    <col min="41" max="52" width="9.7109375" customWidth="1"/>
    <col min="53" max="53" width="9.140625" customWidth="1"/>
    <col min="54" max="54" width="10.140625" customWidth="1"/>
    <col min="55" max="55" width="11.28515625" customWidth="1"/>
    <col min="56" max="56" width="9.42578125" customWidth="1"/>
    <col min="57" max="62" width="8.7109375" customWidth="1"/>
    <col min="63" max="74" width="9.7109375" customWidth="1"/>
    <col min="75" max="75" width="9.140625" customWidth="1"/>
    <col min="76" max="76" width="10.140625" customWidth="1"/>
    <col min="77" max="77" width="11.28515625" customWidth="1"/>
    <col min="78" max="81" width="9.7109375" customWidth="1"/>
    <col min="82" max="82" width="9.42578125" customWidth="1"/>
    <col min="83" max="88" width="8.7109375" customWidth="1"/>
    <col min="89" max="100" width="9.7109375" customWidth="1"/>
    <col min="101" max="101" width="9.140625" customWidth="1"/>
    <col min="102" max="102" width="10.140625" customWidth="1"/>
    <col min="103" max="103" width="11.28515625" customWidth="1"/>
    <col min="104" max="109" width="10.7109375" customWidth="1"/>
    <col min="110" max="112" width="10.140625" customWidth="1"/>
    <col min="113" max="113" width="11.28515625" customWidth="1"/>
    <col min="114" max="114" width="9.7109375" customWidth="1"/>
    <col min="115" max="129" width="10.7109375" customWidth="1"/>
    <col min="130" max="132" width="10.140625" customWidth="1"/>
    <col min="133" max="133" width="11.28515625" customWidth="1"/>
    <col min="134" max="140" width="8.7109375" customWidth="1"/>
    <col min="141" max="161" width="9.7109375" customWidth="1"/>
    <col min="162" max="162" width="9.140625" customWidth="1"/>
    <col min="163" max="170" width="8.7109375" customWidth="1"/>
    <col min="171" max="186" width="9.7109375" customWidth="1"/>
    <col min="187" max="187" width="10.140625" customWidth="1"/>
    <col min="188" max="189" width="8.7109375" customWidth="1"/>
    <col min="190" max="190" width="9.140625" customWidth="1"/>
    <col min="191" max="193" width="8.7109375" customWidth="1"/>
    <col min="194" max="211" width="9.7109375" customWidth="1"/>
    <col min="212" max="213" width="10.140625" customWidth="1"/>
    <col min="214" max="214" width="8.7109375" customWidth="1"/>
    <col min="215" max="215" width="9.140625" customWidth="1"/>
    <col min="216" max="219" width="8.7109375" customWidth="1"/>
    <col min="220" max="220" width="9.140625" customWidth="1"/>
    <col min="221" max="230" width="9.7109375" customWidth="1"/>
    <col min="231" max="231" width="9.140625" customWidth="1"/>
    <col min="232" max="232" width="9.7109375" customWidth="1"/>
    <col min="233" max="233" width="10.140625" customWidth="1"/>
    <col min="234" max="234" width="11.28515625" customWidth="1"/>
    <col min="235" max="235" width="15.7109375" customWidth="1"/>
    <col min="236" max="236" width="12.5703125" customWidth="1"/>
    <col min="237" max="237" width="9.85546875" customWidth="1"/>
    <col min="238" max="238" width="15.7109375" customWidth="1"/>
    <col min="239" max="239" width="12.5703125" customWidth="1"/>
    <col min="240" max="240" width="9.85546875" customWidth="1"/>
    <col min="241" max="241" width="15.7109375" bestFit="1" customWidth="1"/>
    <col min="242" max="242" width="12.5703125" bestFit="1" customWidth="1"/>
    <col min="243" max="243" width="9.85546875" customWidth="1"/>
    <col min="244" max="244" width="15.7109375" bestFit="1" customWidth="1"/>
    <col min="245" max="245" width="12.5703125" customWidth="1"/>
    <col min="246" max="246" width="9.85546875" customWidth="1"/>
    <col min="247" max="247" width="15.7109375" bestFit="1" customWidth="1"/>
    <col min="248" max="248" width="11.5703125" bestFit="1" customWidth="1"/>
    <col min="249" max="249" width="9.85546875" customWidth="1"/>
    <col min="250" max="250" width="14.7109375" bestFit="1" customWidth="1"/>
    <col min="251" max="251" width="11.5703125" customWidth="1"/>
    <col min="252" max="252" width="9.85546875" customWidth="1"/>
    <col min="253" max="253" width="14.7109375" bestFit="1" customWidth="1"/>
    <col min="254" max="254" width="11.5703125" customWidth="1"/>
    <col min="255" max="255" width="9.85546875" customWidth="1"/>
    <col min="256" max="256" width="14.7109375" bestFit="1" customWidth="1"/>
    <col min="257" max="257" width="11.5703125" customWidth="1"/>
    <col min="258" max="258" width="9.85546875" customWidth="1"/>
    <col min="259" max="259" width="14.7109375" bestFit="1" customWidth="1"/>
    <col min="260" max="260" width="11.5703125" bestFit="1" customWidth="1"/>
    <col min="261" max="261" width="9.85546875" customWidth="1"/>
    <col min="262" max="262" width="14.7109375" bestFit="1" customWidth="1"/>
    <col min="263" max="263" width="11.5703125" customWidth="1"/>
    <col min="264" max="264" width="9.85546875" customWidth="1"/>
    <col min="265" max="265" width="14.7109375" bestFit="1" customWidth="1"/>
    <col min="266" max="266" width="11.5703125" bestFit="1" customWidth="1"/>
    <col min="267" max="267" width="9.85546875" customWidth="1"/>
    <col min="268" max="268" width="14.7109375" bestFit="1" customWidth="1"/>
    <col min="269" max="269" width="11.5703125" customWidth="1"/>
    <col min="270" max="270" width="9.85546875" customWidth="1"/>
    <col min="271" max="271" width="14.7109375" bestFit="1" customWidth="1"/>
    <col min="272" max="272" width="12.5703125" bestFit="1" customWidth="1"/>
    <col min="273" max="273" width="9.85546875" customWidth="1"/>
    <col min="274" max="274" width="15.7109375" bestFit="1" customWidth="1"/>
    <col min="275" max="275" width="12.5703125" customWidth="1"/>
    <col min="276" max="276" width="9.85546875" customWidth="1"/>
    <col min="277" max="277" width="15.7109375" bestFit="1" customWidth="1"/>
    <col min="278" max="278" width="12.5703125" bestFit="1" customWidth="1"/>
    <col min="279" max="279" width="9.85546875" customWidth="1"/>
    <col min="280" max="280" width="15.7109375" bestFit="1" customWidth="1"/>
    <col min="281" max="281" width="12.5703125" customWidth="1"/>
    <col min="282" max="282" width="9.85546875" customWidth="1"/>
    <col min="283" max="283" width="15.7109375" bestFit="1" customWidth="1"/>
    <col min="284" max="284" width="12.5703125" bestFit="1" customWidth="1"/>
    <col min="285" max="285" width="9.85546875" customWidth="1"/>
    <col min="286" max="286" width="15.7109375" bestFit="1" customWidth="1"/>
    <col min="287" max="287" width="12.5703125" customWidth="1"/>
    <col min="288" max="288" width="9.85546875" customWidth="1"/>
    <col min="289" max="289" width="15.7109375" bestFit="1" customWidth="1"/>
    <col min="290" max="290" width="12.5703125" bestFit="1" customWidth="1"/>
    <col min="291" max="291" width="9.85546875" customWidth="1"/>
    <col min="292" max="292" width="15.7109375" bestFit="1" customWidth="1"/>
    <col min="293" max="293" width="12.5703125" customWidth="1"/>
    <col min="294" max="294" width="9.85546875" customWidth="1"/>
    <col min="295" max="295" width="15.7109375" bestFit="1" customWidth="1"/>
    <col min="296" max="296" width="12.5703125" bestFit="1" customWidth="1"/>
    <col min="297" max="297" width="9.85546875" customWidth="1"/>
    <col min="298" max="298" width="15.7109375" bestFit="1" customWidth="1"/>
    <col min="299" max="299" width="12.5703125" customWidth="1"/>
    <col min="300" max="300" width="9.85546875" customWidth="1"/>
    <col min="301" max="301" width="15.7109375" bestFit="1" customWidth="1"/>
    <col min="302" max="302" width="12.5703125" bestFit="1" customWidth="1"/>
    <col min="303" max="303" width="9.85546875" customWidth="1"/>
    <col min="304" max="304" width="15.7109375" bestFit="1" customWidth="1"/>
    <col min="305" max="305" width="12.5703125" customWidth="1"/>
    <col min="306" max="306" width="9.85546875" customWidth="1"/>
    <col min="307" max="307" width="15.7109375" bestFit="1" customWidth="1"/>
    <col min="308" max="308" width="12.5703125" bestFit="1" customWidth="1"/>
    <col min="309" max="309" width="9.85546875" customWidth="1"/>
    <col min="310" max="310" width="15.7109375" bestFit="1" customWidth="1"/>
    <col min="311" max="311" width="11.5703125" customWidth="1"/>
    <col min="312" max="312" width="9.85546875" customWidth="1"/>
    <col min="313" max="313" width="14.7109375" bestFit="1" customWidth="1"/>
    <col min="314" max="314" width="11.5703125" bestFit="1" customWidth="1"/>
    <col min="315" max="315" width="9.85546875" customWidth="1"/>
    <col min="316" max="316" width="14.7109375" bestFit="1" customWidth="1"/>
    <col min="317" max="317" width="11.5703125" customWidth="1"/>
    <col min="318" max="318" width="9.85546875" customWidth="1"/>
    <col min="319" max="319" width="14.7109375" bestFit="1" customWidth="1"/>
    <col min="320" max="320" width="11.5703125" bestFit="1" customWidth="1"/>
    <col min="321" max="321" width="9.85546875" customWidth="1"/>
    <col min="322" max="322" width="14.7109375" bestFit="1" customWidth="1"/>
    <col min="323" max="323" width="11.5703125" customWidth="1"/>
    <col min="324" max="324" width="9.85546875" customWidth="1"/>
    <col min="325" max="325" width="14.7109375" bestFit="1" customWidth="1"/>
    <col min="326" max="326" width="12.5703125" bestFit="1" customWidth="1"/>
    <col min="327" max="327" width="9.85546875" customWidth="1"/>
    <col min="328" max="328" width="15.7109375" bestFit="1" customWidth="1"/>
    <col min="329" max="329" width="12.5703125" customWidth="1"/>
    <col min="330" max="330" width="9.85546875" customWidth="1"/>
    <col min="331" max="331" width="15.7109375" bestFit="1" customWidth="1"/>
    <col min="332" max="332" width="12.5703125" bestFit="1" customWidth="1"/>
    <col min="333" max="333" width="9.85546875" customWidth="1"/>
    <col min="334" max="334" width="15.7109375" bestFit="1" customWidth="1"/>
    <col min="335" max="335" width="12.5703125" customWidth="1"/>
    <col min="336" max="336" width="9.85546875" customWidth="1"/>
    <col min="337" max="337" width="15.7109375" bestFit="1" customWidth="1"/>
    <col min="338" max="338" width="12.5703125" bestFit="1" customWidth="1"/>
    <col min="339" max="339" width="9.85546875" customWidth="1"/>
    <col min="340" max="340" width="15.7109375" bestFit="1" customWidth="1"/>
    <col min="341" max="341" width="12.5703125" customWidth="1"/>
    <col min="342" max="342" width="9.85546875" customWidth="1"/>
    <col min="343" max="343" width="15.7109375" bestFit="1" customWidth="1"/>
    <col min="344" max="344" width="12.5703125" bestFit="1" customWidth="1"/>
    <col min="345" max="345" width="9.85546875" customWidth="1"/>
    <col min="346" max="346" width="15.7109375" bestFit="1" customWidth="1"/>
    <col min="347" max="347" width="12.5703125" customWidth="1"/>
    <col min="348" max="348" width="9.85546875" customWidth="1"/>
    <col min="349" max="349" width="15.7109375" bestFit="1" customWidth="1"/>
    <col min="350" max="350" width="12.5703125" bestFit="1" customWidth="1"/>
    <col min="351" max="351" width="9.85546875" customWidth="1"/>
    <col min="352" max="352" width="15.7109375" bestFit="1" customWidth="1"/>
    <col min="353" max="353" width="12.5703125" customWidth="1"/>
    <col min="354" max="354" width="9.85546875" customWidth="1"/>
    <col min="355" max="355" width="15.7109375" bestFit="1" customWidth="1"/>
    <col min="356" max="356" width="12.5703125" bestFit="1" customWidth="1"/>
    <col min="357" max="357" width="9.85546875" customWidth="1"/>
    <col min="358" max="358" width="15.7109375" bestFit="1" customWidth="1"/>
    <col min="359" max="359" width="12.5703125" customWidth="1"/>
    <col min="360" max="360" width="9.85546875" customWidth="1"/>
    <col min="361" max="361" width="15.7109375" bestFit="1" customWidth="1"/>
    <col min="362" max="362" width="12.5703125" bestFit="1" customWidth="1"/>
    <col min="363" max="363" width="9.85546875" customWidth="1"/>
    <col min="364" max="364" width="15.7109375" bestFit="1" customWidth="1"/>
    <col min="365" max="365" width="12.5703125" customWidth="1"/>
    <col min="366" max="366" width="9.85546875" customWidth="1"/>
    <col min="367" max="367" width="15.7109375" bestFit="1" customWidth="1"/>
    <col min="368" max="368" width="10.5703125" customWidth="1"/>
    <col min="369" max="369" width="9.85546875" customWidth="1"/>
    <col min="370" max="370" width="13.7109375" bestFit="1" customWidth="1"/>
    <col min="371" max="371" width="10.5703125" customWidth="1"/>
    <col min="372" max="372" width="9.85546875" customWidth="1"/>
    <col min="373" max="373" width="13.7109375" customWidth="1"/>
    <col min="374" max="374" width="10.5703125" customWidth="1"/>
    <col min="375" max="375" width="9.85546875" customWidth="1"/>
    <col min="376" max="376" width="13.7109375" bestFit="1" customWidth="1"/>
    <col min="377" max="377" width="10.5703125" customWidth="1"/>
    <col min="378" max="378" width="9.85546875" customWidth="1"/>
    <col min="379" max="379" width="13.7109375" customWidth="1"/>
    <col min="380" max="380" width="10.5703125" customWidth="1"/>
    <col min="381" max="381" width="9.85546875" customWidth="1"/>
    <col min="382" max="382" width="13.7109375" bestFit="1" customWidth="1"/>
    <col min="383" max="383" width="10.5703125" customWidth="1"/>
    <col min="384" max="384" width="9.85546875" customWidth="1"/>
    <col min="385" max="385" width="13.7109375" customWidth="1"/>
    <col min="386" max="386" width="10.5703125" customWidth="1"/>
    <col min="387" max="387" width="9.85546875" customWidth="1"/>
    <col min="388" max="388" width="13.7109375" bestFit="1" customWidth="1"/>
    <col min="389" max="389" width="10.5703125" customWidth="1"/>
    <col min="390" max="390" width="9.85546875" customWidth="1"/>
    <col min="391" max="391" width="13.7109375" customWidth="1"/>
    <col min="392" max="392" width="11.5703125" bestFit="1" customWidth="1"/>
    <col min="393" max="393" width="9.85546875" customWidth="1"/>
    <col min="394" max="394" width="14.7109375" bestFit="1" customWidth="1"/>
    <col min="395" max="395" width="11.5703125" customWidth="1"/>
    <col min="396" max="396" width="9.85546875" customWidth="1"/>
    <col min="397" max="397" width="14.7109375" bestFit="1" customWidth="1"/>
    <col min="398" max="398" width="11.5703125" bestFit="1" customWidth="1"/>
    <col min="399" max="399" width="9.85546875" customWidth="1"/>
    <col min="400" max="400" width="14.7109375" bestFit="1" customWidth="1"/>
    <col min="401" max="401" width="11.5703125" customWidth="1"/>
    <col min="402" max="402" width="9.85546875" customWidth="1"/>
    <col min="403" max="403" width="14.7109375" bestFit="1" customWidth="1"/>
    <col min="404" max="404" width="11.5703125" bestFit="1" customWidth="1"/>
    <col min="405" max="405" width="9.85546875" customWidth="1"/>
    <col min="406" max="406" width="14.7109375" bestFit="1" customWidth="1"/>
    <col min="407" max="407" width="11.5703125" customWidth="1"/>
    <col min="408" max="408" width="9.85546875" customWidth="1"/>
    <col min="409" max="409" width="14.7109375" bestFit="1" customWidth="1"/>
    <col min="410" max="410" width="11.5703125" bestFit="1" customWidth="1"/>
    <col min="411" max="411" width="9.85546875" customWidth="1"/>
    <col min="412" max="412" width="14.7109375" bestFit="1" customWidth="1"/>
    <col min="413" max="413" width="11.5703125" customWidth="1"/>
    <col min="414" max="414" width="9.85546875" customWidth="1"/>
    <col min="415" max="415" width="14.7109375" bestFit="1" customWidth="1"/>
    <col min="416" max="416" width="11.5703125" bestFit="1" customWidth="1"/>
    <col min="417" max="417" width="9.85546875" customWidth="1"/>
    <col min="418" max="418" width="14.7109375" bestFit="1" customWidth="1"/>
    <col min="419" max="419" width="11.5703125" customWidth="1"/>
    <col min="420" max="420" width="9.85546875" customWidth="1"/>
    <col min="421" max="421" width="14.7109375" bestFit="1" customWidth="1"/>
    <col min="422" max="422" width="11.5703125" bestFit="1" customWidth="1"/>
    <col min="423" max="423" width="9.85546875" customWidth="1"/>
    <col min="424" max="424" width="14.7109375" bestFit="1" customWidth="1"/>
    <col min="425" max="425" width="11.5703125" customWidth="1"/>
    <col min="426" max="426" width="9.85546875" customWidth="1"/>
    <col min="427" max="427" width="14.7109375" bestFit="1" customWidth="1"/>
    <col min="428" max="428" width="11.5703125" bestFit="1" customWidth="1"/>
    <col min="429" max="429" width="9.85546875" customWidth="1"/>
    <col min="430" max="430" width="14.7109375" bestFit="1" customWidth="1"/>
    <col min="431" max="431" width="11.5703125" customWidth="1"/>
    <col min="432" max="432" width="9.85546875" customWidth="1"/>
    <col min="433" max="433" width="14.7109375" bestFit="1" customWidth="1"/>
    <col min="434" max="434" width="11.5703125" bestFit="1" customWidth="1"/>
    <col min="435" max="435" width="9.85546875" customWidth="1"/>
    <col min="436" max="436" width="14.7109375" bestFit="1" customWidth="1"/>
    <col min="437" max="437" width="11.5703125" bestFit="1" customWidth="1"/>
    <col min="438" max="438" width="9.85546875" customWidth="1"/>
    <col min="439" max="439" width="14.7109375" bestFit="1" customWidth="1"/>
    <col min="440" max="440" width="11.5703125" bestFit="1" customWidth="1"/>
    <col min="441" max="441" width="9.85546875" customWidth="1"/>
    <col min="442" max="442" width="14.7109375" bestFit="1" customWidth="1"/>
    <col min="443" max="443" width="11.5703125" bestFit="1" customWidth="1"/>
    <col min="444" max="444" width="9.85546875" customWidth="1"/>
    <col min="445" max="445" width="14.7109375" bestFit="1" customWidth="1"/>
    <col min="446" max="446" width="11.5703125" bestFit="1" customWidth="1"/>
    <col min="447" max="447" width="9.85546875" customWidth="1"/>
    <col min="448" max="448" width="14.7109375" bestFit="1" customWidth="1"/>
    <col min="449" max="449" width="11.5703125" bestFit="1" customWidth="1"/>
    <col min="450" max="450" width="9.85546875" customWidth="1"/>
    <col min="451" max="451" width="14.7109375" bestFit="1" customWidth="1"/>
    <col min="452" max="452" width="11.5703125" bestFit="1" customWidth="1"/>
    <col min="453" max="453" width="9.85546875" customWidth="1"/>
    <col min="454" max="454" width="14.7109375" bestFit="1" customWidth="1"/>
    <col min="455" max="455" width="10.5703125" bestFit="1" customWidth="1"/>
    <col min="456" max="456" width="9.85546875" bestFit="1" customWidth="1"/>
    <col min="457" max="457" width="13.7109375" bestFit="1" customWidth="1"/>
    <col min="458" max="458" width="10.5703125" bestFit="1" customWidth="1"/>
    <col min="459" max="459" width="9.85546875" bestFit="1" customWidth="1"/>
    <col min="460" max="460" width="13.7109375" bestFit="1" customWidth="1"/>
    <col min="461" max="461" width="10.5703125" bestFit="1" customWidth="1"/>
    <col min="462" max="462" width="9.85546875" bestFit="1" customWidth="1"/>
    <col min="463" max="463" width="13.7109375" bestFit="1" customWidth="1"/>
    <col min="464" max="464" width="10.5703125" bestFit="1" customWidth="1"/>
    <col min="465" max="465" width="9.85546875" bestFit="1" customWidth="1"/>
    <col min="466" max="466" width="13.7109375" bestFit="1" customWidth="1"/>
    <col min="467" max="467" width="10.5703125" bestFit="1" customWidth="1"/>
    <col min="468" max="468" width="9.85546875" bestFit="1" customWidth="1"/>
    <col min="469" max="469" width="13.7109375" bestFit="1" customWidth="1"/>
    <col min="470" max="470" width="10.5703125" bestFit="1" customWidth="1"/>
    <col min="471" max="471" width="9.85546875" bestFit="1" customWidth="1"/>
    <col min="472" max="472" width="13.7109375" bestFit="1" customWidth="1"/>
    <col min="473" max="473" width="10.5703125" bestFit="1" customWidth="1"/>
    <col min="474" max="474" width="9.85546875" bestFit="1" customWidth="1"/>
    <col min="475" max="475" width="13.7109375" bestFit="1" customWidth="1"/>
    <col min="476" max="476" width="10.5703125" bestFit="1" customWidth="1"/>
    <col min="477" max="477" width="9.85546875" bestFit="1" customWidth="1"/>
    <col min="478" max="478" width="13.7109375" bestFit="1" customWidth="1"/>
    <col min="479" max="479" width="11.5703125" bestFit="1" customWidth="1"/>
    <col min="480" max="480" width="9.85546875" bestFit="1" customWidth="1"/>
    <col min="481" max="481" width="14.7109375" bestFit="1" customWidth="1"/>
    <col min="482" max="482" width="11.5703125" bestFit="1" customWidth="1"/>
    <col min="483" max="483" width="9.85546875" bestFit="1" customWidth="1"/>
    <col min="484" max="484" width="14.7109375" bestFit="1" customWidth="1"/>
    <col min="485" max="485" width="11.5703125" bestFit="1" customWidth="1"/>
    <col min="486" max="486" width="9.85546875" bestFit="1" customWidth="1"/>
    <col min="487" max="487" width="14.7109375" bestFit="1" customWidth="1"/>
    <col min="488" max="488" width="11.5703125" bestFit="1" customWidth="1"/>
    <col min="489" max="489" width="9.85546875" bestFit="1" customWidth="1"/>
    <col min="490" max="490" width="14.7109375" bestFit="1" customWidth="1"/>
    <col min="491" max="491" width="11.5703125" bestFit="1" customWidth="1"/>
    <col min="492" max="492" width="9.85546875" bestFit="1" customWidth="1"/>
    <col min="493" max="493" width="14.7109375" bestFit="1" customWidth="1"/>
    <col min="494" max="494" width="11.5703125" bestFit="1" customWidth="1"/>
    <col min="495" max="495" width="9.85546875" bestFit="1" customWidth="1"/>
    <col min="496" max="496" width="14.7109375" bestFit="1" customWidth="1"/>
    <col min="497" max="497" width="11.5703125" bestFit="1" customWidth="1"/>
    <col min="498" max="498" width="9.85546875" bestFit="1" customWidth="1"/>
    <col min="499" max="499" width="14.7109375" bestFit="1" customWidth="1"/>
    <col min="500" max="500" width="11.5703125" bestFit="1" customWidth="1"/>
    <col min="501" max="501" width="9.85546875" bestFit="1" customWidth="1"/>
    <col min="502" max="502" width="14.7109375" bestFit="1" customWidth="1"/>
    <col min="503" max="503" width="11.5703125" bestFit="1" customWidth="1"/>
    <col min="504" max="504" width="9.85546875" bestFit="1" customWidth="1"/>
    <col min="505" max="505" width="14.7109375" bestFit="1" customWidth="1"/>
    <col min="506" max="506" width="11.5703125" bestFit="1" customWidth="1"/>
    <col min="507" max="507" width="9.85546875" bestFit="1" customWidth="1"/>
    <col min="508" max="508" width="14.7109375" bestFit="1" customWidth="1"/>
    <col min="509" max="509" width="11.5703125" bestFit="1" customWidth="1"/>
    <col min="510" max="510" width="9.85546875" bestFit="1" customWidth="1"/>
    <col min="511" max="511" width="14.7109375" bestFit="1" customWidth="1"/>
    <col min="512" max="512" width="11.5703125" bestFit="1" customWidth="1"/>
    <col min="513" max="513" width="9.85546875" bestFit="1" customWidth="1"/>
    <col min="514" max="514" width="14.7109375" bestFit="1" customWidth="1"/>
    <col min="515" max="515" width="11.5703125" bestFit="1" customWidth="1"/>
    <col min="516" max="516" width="9.85546875" bestFit="1" customWidth="1"/>
    <col min="517" max="517" width="14.7109375" bestFit="1" customWidth="1"/>
    <col min="518" max="518" width="11.5703125" bestFit="1" customWidth="1"/>
    <col min="519" max="519" width="9.85546875" bestFit="1" customWidth="1"/>
    <col min="520" max="520" width="14.7109375" bestFit="1" customWidth="1"/>
    <col min="521" max="521" width="11.5703125" bestFit="1" customWidth="1"/>
    <col min="522" max="522" width="9.85546875" bestFit="1" customWidth="1"/>
    <col min="523" max="523" width="14.7109375" bestFit="1" customWidth="1"/>
    <col min="524" max="524" width="11.5703125" bestFit="1" customWidth="1"/>
    <col min="525" max="525" width="9.85546875" bestFit="1" customWidth="1"/>
    <col min="526" max="526" width="14.7109375" bestFit="1" customWidth="1"/>
    <col min="527" max="527" width="10.5703125" bestFit="1" customWidth="1"/>
    <col min="528" max="528" width="9.85546875" bestFit="1" customWidth="1"/>
    <col min="529" max="529" width="13.7109375" bestFit="1" customWidth="1"/>
    <col min="530" max="530" width="10.5703125" bestFit="1" customWidth="1"/>
    <col min="531" max="531" width="9.85546875" bestFit="1" customWidth="1"/>
    <col min="532" max="532" width="13.7109375" bestFit="1" customWidth="1"/>
    <col min="533" max="533" width="10.5703125" bestFit="1" customWidth="1"/>
    <col min="534" max="534" width="9.85546875" bestFit="1" customWidth="1"/>
    <col min="535" max="535" width="13.7109375" bestFit="1" customWidth="1"/>
    <col min="536" max="536" width="10.5703125" bestFit="1" customWidth="1"/>
    <col min="537" max="537" width="9.85546875" bestFit="1" customWidth="1"/>
    <col min="538" max="538" width="13.7109375" bestFit="1" customWidth="1"/>
    <col min="539" max="539" width="10.5703125" bestFit="1" customWidth="1"/>
    <col min="540" max="540" width="9.85546875" bestFit="1" customWidth="1"/>
    <col min="541" max="541" width="13.7109375" bestFit="1" customWidth="1"/>
    <col min="542" max="542" width="10.5703125" bestFit="1" customWidth="1"/>
    <col min="543" max="543" width="9.85546875" bestFit="1" customWidth="1"/>
    <col min="544" max="544" width="13.7109375" bestFit="1" customWidth="1"/>
    <col min="545" max="545" width="11.5703125" bestFit="1" customWidth="1"/>
    <col min="546" max="546" width="9.85546875" bestFit="1" customWidth="1"/>
    <col min="547" max="547" width="14.7109375" bestFit="1" customWidth="1"/>
    <col min="548" max="548" width="11.5703125" bestFit="1" customWidth="1"/>
    <col min="549" max="549" width="9.85546875" bestFit="1" customWidth="1"/>
    <col min="550" max="550" width="14.7109375" bestFit="1" customWidth="1"/>
    <col min="551" max="551" width="11.5703125" bestFit="1" customWidth="1"/>
    <col min="552" max="552" width="9.85546875" bestFit="1" customWidth="1"/>
    <col min="553" max="553" width="14.7109375" bestFit="1" customWidth="1"/>
    <col min="554" max="554" width="11.5703125" bestFit="1" customWidth="1"/>
    <col min="555" max="555" width="9.85546875" bestFit="1" customWidth="1"/>
    <col min="556" max="556" width="14.7109375" bestFit="1" customWidth="1"/>
    <col min="557" max="557" width="11.5703125" bestFit="1" customWidth="1"/>
    <col min="558" max="558" width="9.85546875" bestFit="1" customWidth="1"/>
    <col min="559" max="559" width="14.7109375" bestFit="1" customWidth="1"/>
    <col min="560" max="560" width="11.5703125" bestFit="1" customWidth="1"/>
    <col min="561" max="561" width="9.85546875" bestFit="1" customWidth="1"/>
    <col min="562" max="562" width="14.7109375" bestFit="1" customWidth="1"/>
    <col min="563" max="563" width="11.5703125" bestFit="1" customWidth="1"/>
    <col min="564" max="564" width="9.85546875" bestFit="1" customWidth="1"/>
    <col min="565" max="565" width="14.7109375" bestFit="1" customWidth="1"/>
    <col min="566" max="566" width="11.5703125" bestFit="1" customWidth="1"/>
    <col min="567" max="567" width="9.85546875" bestFit="1" customWidth="1"/>
    <col min="568" max="568" width="14.7109375" bestFit="1" customWidth="1"/>
    <col min="569" max="569" width="11.5703125" bestFit="1" customWidth="1"/>
    <col min="570" max="570" width="9.85546875" bestFit="1" customWidth="1"/>
    <col min="571" max="571" width="14.7109375" bestFit="1" customWidth="1"/>
    <col min="572" max="572" width="11.5703125" bestFit="1" customWidth="1"/>
    <col min="573" max="573" width="9.85546875" bestFit="1" customWidth="1"/>
    <col min="574" max="574" width="14.7109375" bestFit="1" customWidth="1"/>
    <col min="575" max="575" width="11.5703125" bestFit="1" customWidth="1"/>
    <col min="576" max="576" width="9.85546875" bestFit="1" customWidth="1"/>
    <col min="577" max="577" width="14.7109375" bestFit="1" customWidth="1"/>
    <col min="578" max="578" width="11.5703125" bestFit="1" customWidth="1"/>
    <col min="579" max="579" width="9.85546875" bestFit="1" customWidth="1"/>
    <col min="580" max="580" width="14.7109375" bestFit="1" customWidth="1"/>
    <col min="581" max="581" width="11.5703125" bestFit="1" customWidth="1"/>
    <col min="582" max="582" width="9.85546875" bestFit="1" customWidth="1"/>
    <col min="583" max="583" width="14.7109375" bestFit="1" customWidth="1"/>
    <col min="584" max="584" width="11.5703125" bestFit="1" customWidth="1"/>
    <col min="585" max="585" width="9.85546875" bestFit="1" customWidth="1"/>
    <col min="586" max="586" width="14.7109375" bestFit="1" customWidth="1"/>
    <col min="587" max="587" width="11.5703125" bestFit="1" customWidth="1"/>
    <col min="588" max="588" width="9.85546875" bestFit="1" customWidth="1"/>
    <col min="589" max="589" width="14.7109375" bestFit="1" customWidth="1"/>
    <col min="590" max="590" width="11.5703125" bestFit="1" customWidth="1"/>
    <col min="591" max="591" width="9.85546875" bestFit="1" customWidth="1"/>
    <col min="592" max="592" width="14.7109375" bestFit="1" customWidth="1"/>
    <col min="593" max="593" width="11.5703125" bestFit="1" customWidth="1"/>
    <col min="594" max="594" width="9.85546875" bestFit="1" customWidth="1"/>
    <col min="595" max="595" width="14.7109375" bestFit="1" customWidth="1"/>
    <col min="596" max="596" width="11.5703125" bestFit="1" customWidth="1"/>
    <col min="597" max="597" width="9.85546875" bestFit="1" customWidth="1"/>
    <col min="598" max="598" width="14.7109375" bestFit="1" customWidth="1"/>
    <col min="599" max="599" width="10.5703125" bestFit="1" customWidth="1"/>
    <col min="600" max="600" width="9.85546875" customWidth="1"/>
    <col min="601" max="601" width="13.7109375" bestFit="1" customWidth="1"/>
    <col min="602" max="602" width="10.5703125" bestFit="1" customWidth="1"/>
    <col min="603" max="603" width="9.85546875" bestFit="1" customWidth="1"/>
    <col min="604" max="604" width="13.7109375" bestFit="1" customWidth="1"/>
    <col min="605" max="605" width="10.5703125" bestFit="1" customWidth="1"/>
    <col min="606" max="606" width="9.85546875" customWidth="1"/>
    <col min="607" max="607" width="13.7109375" bestFit="1" customWidth="1"/>
    <col min="608" max="608" width="10.5703125" bestFit="1" customWidth="1"/>
    <col min="609" max="609" width="9.85546875" customWidth="1"/>
    <col min="610" max="610" width="13.7109375" bestFit="1" customWidth="1"/>
    <col min="611" max="611" width="10.5703125" bestFit="1" customWidth="1"/>
    <col min="612" max="612" width="9.85546875" customWidth="1"/>
    <col min="613" max="613" width="13.7109375" bestFit="1" customWidth="1"/>
    <col min="614" max="614" width="10.5703125" bestFit="1" customWidth="1"/>
    <col min="615" max="615" width="9.85546875" customWidth="1"/>
    <col min="616" max="616" width="13.7109375" bestFit="1" customWidth="1"/>
    <col min="617" max="617" width="10.5703125" bestFit="1" customWidth="1"/>
    <col min="618" max="618" width="9.85546875" bestFit="1" customWidth="1"/>
    <col min="619" max="619" width="13.7109375" bestFit="1" customWidth="1"/>
    <col min="620" max="620" width="11.5703125" bestFit="1" customWidth="1"/>
    <col min="621" max="621" width="9.85546875" customWidth="1"/>
    <col min="622" max="622" width="14.7109375" bestFit="1" customWidth="1"/>
    <col min="623" max="623" width="11.5703125" bestFit="1" customWidth="1"/>
    <col min="624" max="624" width="9.85546875" customWidth="1"/>
    <col min="625" max="625" width="14.7109375" bestFit="1" customWidth="1"/>
    <col min="626" max="626" width="11.5703125" bestFit="1" customWidth="1"/>
    <col min="627" max="627" width="9.85546875" customWidth="1"/>
    <col min="628" max="628" width="14.7109375" bestFit="1" customWidth="1"/>
    <col min="629" max="629" width="11.5703125" bestFit="1" customWidth="1"/>
    <col min="630" max="630" width="9.85546875" customWidth="1"/>
    <col min="631" max="631" width="14.7109375" bestFit="1" customWidth="1"/>
    <col min="632" max="632" width="11.5703125" bestFit="1" customWidth="1"/>
    <col min="633" max="633" width="9.85546875" customWidth="1"/>
    <col min="634" max="634" width="14.7109375" bestFit="1" customWidth="1"/>
    <col min="635" max="635" width="11.5703125" bestFit="1" customWidth="1"/>
    <col min="636" max="636" width="9.85546875" customWidth="1"/>
    <col min="637" max="637" width="14.7109375" bestFit="1" customWidth="1"/>
    <col min="638" max="638" width="11.5703125" bestFit="1" customWidth="1"/>
    <col min="639" max="639" width="9.85546875" customWidth="1"/>
    <col min="640" max="640" width="14.7109375" bestFit="1" customWidth="1"/>
    <col min="641" max="641" width="11.5703125" bestFit="1" customWidth="1"/>
    <col min="642" max="642" width="9.85546875" customWidth="1"/>
    <col min="643" max="643" width="14.7109375" bestFit="1" customWidth="1"/>
    <col min="644" max="644" width="11.5703125" bestFit="1" customWidth="1"/>
    <col min="645" max="645" width="9.85546875" customWidth="1"/>
    <col min="646" max="646" width="14.7109375" bestFit="1" customWidth="1"/>
    <col min="647" max="647" width="11.5703125" bestFit="1" customWidth="1"/>
    <col min="648" max="648" width="9.85546875" customWidth="1"/>
    <col min="649" max="649" width="14.7109375" bestFit="1" customWidth="1"/>
    <col min="650" max="650" width="11.28515625" bestFit="1" customWidth="1"/>
  </cols>
  <sheetData>
    <row r="2" spans="1:3" x14ac:dyDescent="0.25">
      <c r="A2" s="23" t="s">
        <v>37</v>
      </c>
      <c r="B2" t="s" vm="1">
        <v>967</v>
      </c>
    </row>
    <row r="4" spans="1:3" x14ac:dyDescent="0.25">
      <c r="A4" s="23" t="s">
        <v>953</v>
      </c>
      <c r="B4" s="23" t="s">
        <v>952</v>
      </c>
    </row>
    <row r="5" spans="1:3" x14ac:dyDescent="0.25">
      <c r="B5" t="s">
        <v>949</v>
      </c>
      <c r="C5" t="s">
        <v>947</v>
      </c>
    </row>
    <row r="7" spans="1:3" x14ac:dyDescent="0.25">
      <c r="A7" s="23" t="s">
        <v>946</v>
      </c>
    </row>
    <row r="8" spans="1:3" x14ac:dyDescent="0.25">
      <c r="A8" s="22" t="s">
        <v>957</v>
      </c>
      <c r="B8" s="25">
        <v>464.47500000000002</v>
      </c>
      <c r="C8" s="25">
        <v>464.47500000000002</v>
      </c>
    </row>
    <row r="9" spans="1:3" x14ac:dyDescent="0.25">
      <c r="A9" s="22" t="s">
        <v>956</v>
      </c>
      <c r="B9" s="25">
        <v>371.58</v>
      </c>
      <c r="C9" s="25">
        <v>371.58</v>
      </c>
    </row>
    <row r="10" spans="1:3" x14ac:dyDescent="0.25">
      <c r="A10" s="22" t="s">
        <v>935</v>
      </c>
      <c r="B10" s="25">
        <v>557.37</v>
      </c>
      <c r="C10" s="25">
        <v>557.37</v>
      </c>
    </row>
    <row r="11" spans="1:3" x14ac:dyDescent="0.25">
      <c r="A11" s="22" t="s">
        <v>1034</v>
      </c>
      <c r="B11" s="25">
        <v>2275.9275000000002</v>
      </c>
      <c r="C11" s="25">
        <v>2275.9275000000002</v>
      </c>
    </row>
    <row r="12" spans="1:3" x14ac:dyDescent="0.25">
      <c r="A12" s="22" t="s">
        <v>87</v>
      </c>
      <c r="B12" s="25">
        <v>479.95750000000004</v>
      </c>
      <c r="C12" s="25">
        <v>479.95750000000004</v>
      </c>
    </row>
    <row r="13" spans="1:3" x14ac:dyDescent="0.25">
      <c r="A13" s="22" t="s">
        <v>124</v>
      </c>
      <c r="B13" s="25">
        <v>1703.075</v>
      </c>
      <c r="C13" s="25">
        <v>1703.075</v>
      </c>
    </row>
    <row r="14" spans="1:3" x14ac:dyDescent="0.25">
      <c r="A14" s="22" t="s">
        <v>929</v>
      </c>
      <c r="B14" s="25">
        <v>30.965</v>
      </c>
      <c r="C14" s="25">
        <v>30.965</v>
      </c>
    </row>
    <row r="15" spans="1:3" x14ac:dyDescent="0.25">
      <c r="A15" s="22" t="s">
        <v>933</v>
      </c>
      <c r="B15" s="25">
        <v>6781.3350000000009</v>
      </c>
      <c r="C15" s="25">
        <v>6781.3350000000009</v>
      </c>
    </row>
    <row r="16" spans="1:3" x14ac:dyDescent="0.25">
      <c r="A16" s="22" t="s">
        <v>3</v>
      </c>
      <c r="B16" s="25">
        <v>15.4825</v>
      </c>
      <c r="C16" s="25">
        <v>15.4825</v>
      </c>
    </row>
    <row r="17" spans="1:3" x14ac:dyDescent="0.25">
      <c r="A17" s="22" t="s">
        <v>19</v>
      </c>
      <c r="B17" s="25">
        <v>77.412499999999994</v>
      </c>
      <c r="C17" s="25">
        <v>77.412499999999994</v>
      </c>
    </row>
    <row r="18" spans="1:3" x14ac:dyDescent="0.25">
      <c r="A18" s="22" t="s">
        <v>1033</v>
      </c>
      <c r="B18" s="25">
        <v>634.78250000000003</v>
      </c>
      <c r="C18" s="25">
        <v>634.78250000000003</v>
      </c>
    </row>
    <row r="19" spans="1:3" x14ac:dyDescent="0.25">
      <c r="A19" s="22" t="s">
        <v>975</v>
      </c>
      <c r="B19" s="25">
        <v>1532.7674999999999</v>
      </c>
      <c r="C19" s="25">
        <v>1532.7674999999999</v>
      </c>
    </row>
    <row r="20" spans="1:3" x14ac:dyDescent="0.25">
      <c r="A20" s="22" t="s">
        <v>958</v>
      </c>
      <c r="B20" s="25">
        <v>7725.7675000000008</v>
      </c>
      <c r="C20" s="25">
        <v>7725.7675000000008</v>
      </c>
    </row>
    <row r="21" spans="1:3" x14ac:dyDescent="0.25">
      <c r="A21" s="22" t="s">
        <v>983</v>
      </c>
      <c r="B21" s="25">
        <v>526.40499999999997</v>
      </c>
      <c r="C21" s="25">
        <v>526.40499999999997</v>
      </c>
    </row>
    <row r="22" spans="1:3" x14ac:dyDescent="0.25">
      <c r="A22" s="22" t="s">
        <v>965</v>
      </c>
      <c r="B22" s="25">
        <v>19702.447500000017</v>
      </c>
      <c r="C22" s="25">
        <v>19702.447500000017</v>
      </c>
    </row>
    <row r="23" spans="1:3" x14ac:dyDescent="0.25">
      <c r="A23" s="22" t="s">
        <v>1031</v>
      </c>
      <c r="B23" s="25">
        <v>46.447499999999998</v>
      </c>
      <c r="C23" s="25">
        <v>46.447499999999998</v>
      </c>
    </row>
    <row r="24" spans="1:3" x14ac:dyDescent="0.25">
      <c r="A24" s="22" t="s">
        <v>879</v>
      </c>
      <c r="B24" s="25">
        <v>216.755</v>
      </c>
      <c r="C24" s="25">
        <v>216.755</v>
      </c>
    </row>
    <row r="25" spans="1:3" x14ac:dyDescent="0.25">
      <c r="A25" s="22" t="s">
        <v>918</v>
      </c>
      <c r="B25" s="25">
        <v>990.88</v>
      </c>
      <c r="C25" s="25">
        <v>990.88</v>
      </c>
    </row>
    <row r="26" spans="1:3" x14ac:dyDescent="0.25">
      <c r="A26" s="22" t="s">
        <v>910</v>
      </c>
      <c r="B26" s="25">
        <v>309.64999999999998</v>
      </c>
      <c r="C26" s="25">
        <v>309.64999999999998</v>
      </c>
    </row>
    <row r="27" spans="1:3" x14ac:dyDescent="0.25">
      <c r="A27" s="22" t="s">
        <v>919</v>
      </c>
      <c r="B27" s="25">
        <v>154.82499999999999</v>
      </c>
      <c r="C27" s="25">
        <v>154.82499999999999</v>
      </c>
    </row>
    <row r="28" spans="1:3" x14ac:dyDescent="0.25">
      <c r="A28" s="22" t="s">
        <v>1035</v>
      </c>
      <c r="B28" s="25">
        <v>2415.27</v>
      </c>
      <c r="C28" s="25">
        <v>2415.27</v>
      </c>
    </row>
    <row r="29" spans="1:3" x14ac:dyDescent="0.25">
      <c r="A29" s="22" t="s">
        <v>966</v>
      </c>
      <c r="B29" s="25">
        <v>1548.2499999999998</v>
      </c>
      <c r="C29" s="25">
        <v>1548.2499999999998</v>
      </c>
    </row>
    <row r="30" spans="1:3" x14ac:dyDescent="0.25">
      <c r="A30" s="22" t="s">
        <v>947</v>
      </c>
      <c r="B30" s="25">
        <v>48561.827499999818</v>
      </c>
      <c r="C30" s="25">
        <v>48561.827499999818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D10"/>
  <sheetViews>
    <sheetView workbookViewId="0">
      <selection activeCell="A5" sqref="A5"/>
    </sheetView>
  </sheetViews>
  <sheetFormatPr defaultRowHeight="15" x14ac:dyDescent="0.25"/>
  <cols>
    <col min="1" max="1" width="13.140625" customWidth="1"/>
    <col min="2" max="2" width="17.85546875" bestFit="1" customWidth="1"/>
    <col min="3" max="3" width="11" customWidth="1"/>
    <col min="4" max="4" width="19.140625" customWidth="1"/>
    <col min="5" max="5" width="12" bestFit="1" customWidth="1"/>
    <col min="6" max="7" width="8.7109375" customWidth="1"/>
    <col min="8" max="13" width="9.7109375" customWidth="1"/>
    <col min="14" max="14" width="9.7109375" bestFit="1" customWidth="1"/>
    <col min="15" max="15" width="9.7109375" customWidth="1"/>
    <col min="16" max="16" width="9.7109375" bestFit="1" customWidth="1"/>
    <col min="17" max="18" width="9.7109375" customWidth="1"/>
    <col min="19" max="23" width="9.7109375" bestFit="1" customWidth="1"/>
    <col min="24" max="30" width="8.7109375" customWidth="1"/>
    <col min="31" max="39" width="9.7109375" customWidth="1"/>
    <col min="40" max="46" width="9.7109375" bestFit="1" customWidth="1"/>
    <col min="47" max="51" width="8.7109375" customWidth="1"/>
    <col min="52" max="53" width="9.7109375" customWidth="1"/>
    <col min="54" max="58" width="9.7109375" bestFit="1" customWidth="1"/>
    <col min="59" max="65" width="9.7109375" customWidth="1"/>
    <col min="66" max="71" width="9.7109375" bestFit="1" customWidth="1"/>
    <col min="72" max="72" width="9.7109375" customWidth="1"/>
    <col min="73" max="78" width="9.7109375" bestFit="1" customWidth="1"/>
    <col min="79" max="95" width="10.7109375" customWidth="1"/>
    <col min="96" max="100" width="9.7109375" customWidth="1"/>
    <col min="101" max="103" width="9.7109375" bestFit="1" customWidth="1"/>
    <col min="104" max="119" width="10.7109375" customWidth="1"/>
    <col min="120" max="124" width="9.7109375" customWidth="1"/>
    <col min="125" max="141" width="10.7109375" customWidth="1"/>
    <col min="142" max="149" width="8.7109375" customWidth="1"/>
    <col min="150" max="159" width="9.7109375" customWidth="1"/>
    <col min="160" max="166" width="9.7109375" bestFit="1" customWidth="1"/>
    <col min="167" max="170" width="9.7109375" customWidth="1"/>
    <col min="171" max="178" width="8.7109375" customWidth="1"/>
    <col min="179" max="188" width="9.7109375" customWidth="1"/>
    <col min="189" max="192" width="9.7109375" bestFit="1" customWidth="1"/>
    <col min="193" max="197" width="9.7109375" customWidth="1"/>
    <col min="198" max="203" width="8.7109375" customWidth="1"/>
    <col min="204" max="221" width="9.7109375" customWidth="1"/>
    <col min="222" max="222" width="8.7109375" customWidth="1"/>
    <col min="223" max="223" width="11.28515625" customWidth="1"/>
    <col min="224" max="231" width="10.7109375" bestFit="1" customWidth="1"/>
    <col min="232" max="232" width="9.140625" customWidth="1"/>
    <col min="233" max="233" width="11.28515625" bestFit="1" customWidth="1"/>
    <col min="234" max="234" width="10.7109375" bestFit="1" customWidth="1"/>
    <col min="235" max="235" width="9.140625" customWidth="1"/>
    <col min="236" max="236" width="9.7109375" customWidth="1"/>
    <col min="237" max="237" width="11.28515625" bestFit="1" customWidth="1"/>
    <col min="238" max="238" width="9.85546875" bestFit="1" customWidth="1"/>
    <col min="239" max="239" width="11.28515625" bestFit="1" customWidth="1"/>
  </cols>
  <sheetData>
    <row r="1" spans="1:4" x14ac:dyDescent="0.25">
      <c r="A1" s="23" t="s">
        <v>16</v>
      </c>
      <c r="B1" t="s" vm="4">
        <v>999</v>
      </c>
    </row>
    <row r="2" spans="1:4" x14ac:dyDescent="0.25">
      <c r="A2" s="23" t="s">
        <v>997</v>
      </c>
      <c r="B2" t="s" vm="2">
        <v>23</v>
      </c>
    </row>
    <row r="3" spans="1:4" x14ac:dyDescent="0.25">
      <c r="A3" s="23" t="s">
        <v>998</v>
      </c>
      <c r="B3" t="s" vm="3">
        <v>23</v>
      </c>
    </row>
    <row r="5" spans="1:4" x14ac:dyDescent="0.25">
      <c r="A5" s="23" t="s">
        <v>946</v>
      </c>
      <c r="B5" t="s">
        <v>948</v>
      </c>
      <c r="C5" t="s">
        <v>950</v>
      </c>
      <c r="D5" t="s">
        <v>951</v>
      </c>
    </row>
    <row r="6" spans="1:4" x14ac:dyDescent="0.25">
      <c r="A6" s="22" t="s">
        <v>971</v>
      </c>
      <c r="B6" s="10">
        <v>11</v>
      </c>
      <c r="C6" s="24">
        <v>320</v>
      </c>
      <c r="D6" s="24">
        <v>29.09090909090909</v>
      </c>
    </row>
    <row r="7" spans="1:4" x14ac:dyDescent="0.25">
      <c r="A7" s="22" t="s">
        <v>972</v>
      </c>
      <c r="B7" s="10">
        <v>17</v>
      </c>
      <c r="C7" s="24">
        <v>334.5</v>
      </c>
      <c r="D7" s="24">
        <v>19.676470588235293</v>
      </c>
    </row>
    <row r="8" spans="1:4" x14ac:dyDescent="0.25">
      <c r="A8" s="22" t="s">
        <v>970</v>
      </c>
      <c r="B8" s="10">
        <v>7</v>
      </c>
      <c r="C8" s="24">
        <v>196.75</v>
      </c>
      <c r="D8" s="24">
        <v>28.107142857142858</v>
      </c>
    </row>
    <row r="9" spans="1:4" x14ac:dyDescent="0.25">
      <c r="A9" s="22" t="s">
        <v>17</v>
      </c>
      <c r="B9" s="10">
        <v>10</v>
      </c>
      <c r="C9" s="24">
        <v>348</v>
      </c>
      <c r="D9" s="24">
        <v>34.799999999999997</v>
      </c>
    </row>
    <row r="10" spans="1:4" x14ac:dyDescent="0.25">
      <c r="A10" s="22" t="s">
        <v>947</v>
      </c>
      <c r="B10" s="10">
        <v>22</v>
      </c>
      <c r="C10" s="24">
        <v>1199.25</v>
      </c>
      <c r="D10" s="24">
        <v>54.511363636363633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B050"/>
  </sheetPr>
  <dimension ref="A1:D10"/>
  <sheetViews>
    <sheetView workbookViewId="0">
      <selection activeCell="A5" sqref="A5"/>
    </sheetView>
  </sheetViews>
  <sheetFormatPr defaultRowHeight="15" x14ac:dyDescent="0.25"/>
  <cols>
    <col min="1" max="1" width="13.140625" bestFit="1" customWidth="1"/>
    <col min="2" max="2" width="19.140625" bestFit="1" customWidth="1"/>
    <col min="3" max="3" width="12.28515625" bestFit="1" customWidth="1"/>
    <col min="4" max="4" width="11" bestFit="1" customWidth="1"/>
    <col min="5" max="5" width="13.5703125" bestFit="1" customWidth="1"/>
    <col min="6" max="6" width="11" bestFit="1" customWidth="1"/>
    <col min="7" max="7" width="19.140625" bestFit="1" customWidth="1"/>
    <col min="8" max="8" width="13.5703125" bestFit="1" customWidth="1"/>
    <col min="9" max="9" width="11" bestFit="1" customWidth="1"/>
    <col min="10" max="10" width="19.140625" bestFit="1" customWidth="1"/>
    <col min="11" max="11" width="13.5703125" customWidth="1"/>
    <col min="12" max="12" width="11" customWidth="1"/>
    <col min="13" max="13" width="19.140625" customWidth="1"/>
    <col min="14" max="14" width="13.5703125" bestFit="1" customWidth="1"/>
    <col min="15" max="15" width="11" bestFit="1" customWidth="1"/>
    <col min="16" max="16" width="19.140625" bestFit="1" customWidth="1"/>
    <col min="17" max="17" width="13.5703125" bestFit="1" customWidth="1"/>
    <col min="18" max="18" width="11" bestFit="1" customWidth="1"/>
    <col min="19" max="19" width="19.140625" bestFit="1" customWidth="1"/>
    <col min="20" max="20" width="13.5703125" bestFit="1" customWidth="1"/>
    <col min="21" max="21" width="11" bestFit="1" customWidth="1"/>
    <col min="22" max="22" width="19.140625" bestFit="1" customWidth="1"/>
    <col min="23" max="23" width="13.5703125" customWidth="1"/>
    <col min="24" max="24" width="11" customWidth="1"/>
    <col min="25" max="25" width="19.140625" customWidth="1"/>
    <col min="26" max="26" width="13.5703125" customWidth="1"/>
    <col min="27" max="27" width="11" customWidth="1"/>
    <col min="28" max="28" width="19.140625" customWidth="1"/>
    <col min="29" max="29" width="13.5703125" bestFit="1" customWidth="1"/>
    <col min="30" max="30" width="11" bestFit="1" customWidth="1"/>
    <col min="31" max="31" width="19.140625" bestFit="1" customWidth="1"/>
    <col min="32" max="32" width="18.5703125" bestFit="1" customWidth="1"/>
    <col min="33" max="33" width="16" bestFit="1" customWidth="1"/>
    <col min="34" max="34" width="24.140625" bestFit="1" customWidth="1"/>
    <col min="35" max="35" width="18.140625" bestFit="1" customWidth="1"/>
    <col min="36" max="36" width="15.5703125" bestFit="1" customWidth="1"/>
    <col min="37" max="37" width="23.7109375" bestFit="1" customWidth="1"/>
    <col min="38" max="38" width="18.5703125" bestFit="1" customWidth="1"/>
    <col min="39" max="39" width="16" bestFit="1" customWidth="1"/>
    <col min="40" max="40" width="24.140625" bestFit="1" customWidth="1"/>
    <col min="41" max="41" width="13.5703125" bestFit="1" customWidth="1"/>
    <col min="42" max="42" width="11" bestFit="1" customWidth="1"/>
    <col min="43" max="43" width="19.140625" bestFit="1" customWidth="1"/>
    <col min="44" max="44" width="18" bestFit="1" customWidth="1"/>
    <col min="45" max="45" width="15.42578125" bestFit="1" customWidth="1"/>
    <col min="46" max="46" width="23.5703125" bestFit="1" customWidth="1"/>
    <col min="47" max="47" width="18.140625" bestFit="1" customWidth="1"/>
    <col min="48" max="48" width="15.5703125" bestFit="1" customWidth="1"/>
    <col min="49" max="49" width="23.7109375" bestFit="1" customWidth="1"/>
    <col min="50" max="50" width="18.5703125" bestFit="1" customWidth="1"/>
    <col min="51" max="51" width="16" bestFit="1" customWidth="1"/>
    <col min="52" max="52" width="24.140625" bestFit="1" customWidth="1"/>
    <col min="53" max="53" width="13.5703125" bestFit="1" customWidth="1"/>
    <col min="54" max="54" width="11" bestFit="1" customWidth="1"/>
    <col min="55" max="55" width="19.140625" bestFit="1" customWidth="1"/>
    <col min="56" max="56" width="13.5703125" bestFit="1" customWidth="1"/>
    <col min="57" max="57" width="11" bestFit="1" customWidth="1"/>
    <col min="58" max="58" width="19.140625" bestFit="1" customWidth="1"/>
    <col min="59" max="59" width="13.5703125" bestFit="1" customWidth="1"/>
    <col min="60" max="60" width="11" bestFit="1" customWidth="1"/>
    <col min="61" max="61" width="19.140625" bestFit="1" customWidth="1"/>
    <col min="62" max="62" width="13.5703125" bestFit="1" customWidth="1"/>
    <col min="63" max="63" width="11" bestFit="1" customWidth="1"/>
    <col min="64" max="64" width="19.140625" bestFit="1" customWidth="1"/>
    <col min="65" max="65" width="13.5703125" bestFit="1" customWidth="1"/>
    <col min="66" max="66" width="11" bestFit="1" customWidth="1"/>
    <col min="67" max="67" width="19.140625" bestFit="1" customWidth="1"/>
    <col min="68" max="68" width="13.5703125" bestFit="1" customWidth="1"/>
    <col min="69" max="69" width="11" bestFit="1" customWidth="1"/>
    <col min="70" max="70" width="19.140625" bestFit="1" customWidth="1"/>
    <col min="71" max="71" width="13.5703125" bestFit="1" customWidth="1"/>
    <col min="72" max="72" width="11" bestFit="1" customWidth="1"/>
    <col min="73" max="73" width="19.140625" bestFit="1" customWidth="1"/>
    <col min="74" max="74" width="13.5703125" bestFit="1" customWidth="1"/>
    <col min="75" max="75" width="11" bestFit="1" customWidth="1"/>
    <col min="76" max="76" width="19.140625" bestFit="1" customWidth="1"/>
    <col min="77" max="77" width="13.5703125" bestFit="1" customWidth="1"/>
    <col min="78" max="78" width="11" bestFit="1" customWidth="1"/>
    <col min="79" max="79" width="19.140625" bestFit="1" customWidth="1"/>
    <col min="80" max="80" width="13.5703125" bestFit="1" customWidth="1"/>
    <col min="81" max="81" width="11" bestFit="1" customWidth="1"/>
    <col min="82" max="82" width="19.140625" bestFit="1" customWidth="1"/>
    <col min="83" max="83" width="13.5703125" bestFit="1" customWidth="1"/>
    <col min="84" max="84" width="11" bestFit="1" customWidth="1"/>
    <col min="85" max="85" width="19.140625" bestFit="1" customWidth="1"/>
    <col min="86" max="86" width="13.5703125" bestFit="1" customWidth="1"/>
    <col min="87" max="87" width="11" bestFit="1" customWidth="1"/>
    <col min="88" max="88" width="19.140625" bestFit="1" customWidth="1"/>
    <col min="89" max="89" width="13.5703125" bestFit="1" customWidth="1"/>
    <col min="90" max="90" width="11" bestFit="1" customWidth="1"/>
    <col min="91" max="91" width="19.140625" bestFit="1" customWidth="1"/>
    <col min="92" max="92" width="13.5703125" bestFit="1" customWidth="1"/>
    <col min="93" max="93" width="11" bestFit="1" customWidth="1"/>
    <col min="94" max="94" width="19.140625" bestFit="1" customWidth="1"/>
    <col min="95" max="95" width="13.5703125" bestFit="1" customWidth="1"/>
    <col min="96" max="96" width="11" bestFit="1" customWidth="1"/>
    <col min="97" max="97" width="19.140625" bestFit="1" customWidth="1"/>
    <col min="98" max="98" width="13.5703125" bestFit="1" customWidth="1"/>
    <col min="99" max="99" width="11" bestFit="1" customWidth="1"/>
    <col min="100" max="100" width="19.140625" bestFit="1" customWidth="1"/>
    <col min="101" max="101" width="13.5703125" bestFit="1" customWidth="1"/>
    <col min="102" max="102" width="11" bestFit="1" customWidth="1"/>
    <col min="103" max="103" width="19.140625" bestFit="1" customWidth="1"/>
    <col min="104" max="104" width="13.5703125" bestFit="1" customWidth="1"/>
    <col min="105" max="105" width="11" bestFit="1" customWidth="1"/>
    <col min="106" max="106" width="19.140625" bestFit="1" customWidth="1"/>
    <col min="107" max="107" width="13.5703125" bestFit="1" customWidth="1"/>
    <col min="108" max="108" width="11" bestFit="1" customWidth="1"/>
    <col min="109" max="109" width="19.140625" bestFit="1" customWidth="1"/>
    <col min="110" max="110" width="13.5703125" bestFit="1" customWidth="1"/>
    <col min="111" max="111" width="11" bestFit="1" customWidth="1"/>
    <col min="112" max="112" width="19.140625" bestFit="1" customWidth="1"/>
    <col min="113" max="113" width="13.5703125" bestFit="1" customWidth="1"/>
    <col min="114" max="114" width="11" bestFit="1" customWidth="1"/>
    <col min="115" max="115" width="19.140625" bestFit="1" customWidth="1"/>
    <col min="116" max="116" width="13.5703125" bestFit="1" customWidth="1"/>
    <col min="117" max="117" width="11" bestFit="1" customWidth="1"/>
    <col min="118" max="118" width="19.140625" bestFit="1" customWidth="1"/>
    <col min="119" max="119" width="13.5703125" bestFit="1" customWidth="1"/>
    <col min="120" max="120" width="11" bestFit="1" customWidth="1"/>
    <col min="121" max="121" width="19.140625" bestFit="1" customWidth="1"/>
    <col min="122" max="122" width="13.5703125" bestFit="1" customWidth="1"/>
    <col min="123" max="123" width="11" bestFit="1" customWidth="1"/>
    <col min="124" max="124" width="19.140625" bestFit="1" customWidth="1"/>
    <col min="125" max="125" width="13.5703125" bestFit="1" customWidth="1"/>
    <col min="126" max="126" width="11" bestFit="1" customWidth="1"/>
    <col min="127" max="127" width="19.140625" bestFit="1" customWidth="1"/>
    <col min="128" max="128" width="13.5703125" bestFit="1" customWidth="1"/>
    <col min="129" max="129" width="11" bestFit="1" customWidth="1"/>
    <col min="130" max="130" width="19.140625" bestFit="1" customWidth="1"/>
    <col min="131" max="131" width="13.5703125" bestFit="1" customWidth="1"/>
    <col min="132" max="132" width="11" bestFit="1" customWidth="1"/>
    <col min="133" max="133" width="19.140625" bestFit="1" customWidth="1"/>
    <col min="134" max="134" width="13.5703125" bestFit="1" customWidth="1"/>
    <col min="135" max="135" width="11" bestFit="1" customWidth="1"/>
    <col min="136" max="136" width="19.140625" bestFit="1" customWidth="1"/>
    <col min="137" max="137" width="13.5703125" bestFit="1" customWidth="1"/>
    <col min="138" max="138" width="11" bestFit="1" customWidth="1"/>
    <col min="139" max="139" width="19.140625" bestFit="1" customWidth="1"/>
    <col min="140" max="140" width="13.5703125" bestFit="1" customWidth="1"/>
    <col min="141" max="141" width="11" bestFit="1" customWidth="1"/>
    <col min="142" max="142" width="19.140625" bestFit="1" customWidth="1"/>
    <col min="143" max="143" width="13.5703125" bestFit="1" customWidth="1"/>
    <col min="144" max="144" width="11" bestFit="1" customWidth="1"/>
    <col min="145" max="145" width="19.140625" bestFit="1" customWidth="1"/>
    <col min="146" max="146" width="13.5703125" bestFit="1" customWidth="1"/>
    <col min="147" max="147" width="11" bestFit="1" customWidth="1"/>
    <col min="148" max="148" width="19.140625" bestFit="1" customWidth="1"/>
    <col min="149" max="149" width="13.5703125" bestFit="1" customWidth="1"/>
    <col min="150" max="150" width="11" bestFit="1" customWidth="1"/>
    <col min="151" max="151" width="19.140625" bestFit="1" customWidth="1"/>
    <col min="152" max="152" width="13.5703125" bestFit="1" customWidth="1"/>
    <col min="153" max="153" width="11" bestFit="1" customWidth="1"/>
    <col min="154" max="154" width="19.140625" bestFit="1" customWidth="1"/>
    <col min="155" max="155" width="13.5703125" bestFit="1" customWidth="1"/>
    <col min="156" max="156" width="11" bestFit="1" customWidth="1"/>
    <col min="157" max="157" width="19.140625" bestFit="1" customWidth="1"/>
    <col min="158" max="158" width="13.5703125" bestFit="1" customWidth="1"/>
    <col min="159" max="159" width="11" bestFit="1" customWidth="1"/>
    <col min="160" max="160" width="19.140625" bestFit="1" customWidth="1"/>
    <col min="161" max="161" width="13.5703125" bestFit="1" customWidth="1"/>
    <col min="162" max="162" width="11" bestFit="1" customWidth="1"/>
    <col min="163" max="163" width="19.140625" bestFit="1" customWidth="1"/>
    <col min="164" max="164" width="13.5703125" bestFit="1" customWidth="1"/>
    <col min="165" max="165" width="11" bestFit="1" customWidth="1"/>
    <col min="166" max="166" width="19.140625" bestFit="1" customWidth="1"/>
    <col min="167" max="167" width="13.5703125" bestFit="1" customWidth="1"/>
    <col min="168" max="168" width="11" bestFit="1" customWidth="1"/>
    <col min="169" max="169" width="19.140625" bestFit="1" customWidth="1"/>
    <col min="170" max="170" width="13.5703125" bestFit="1" customWidth="1"/>
    <col min="171" max="171" width="11" bestFit="1" customWidth="1"/>
    <col min="172" max="172" width="19.140625" bestFit="1" customWidth="1"/>
    <col min="173" max="173" width="13.5703125" bestFit="1" customWidth="1"/>
    <col min="174" max="174" width="11" bestFit="1" customWidth="1"/>
    <col min="175" max="175" width="19.140625" bestFit="1" customWidth="1"/>
    <col min="176" max="176" width="13.5703125" bestFit="1" customWidth="1"/>
    <col min="177" max="177" width="11" bestFit="1" customWidth="1"/>
    <col min="178" max="178" width="19.140625" bestFit="1" customWidth="1"/>
    <col min="179" max="179" width="13.5703125" bestFit="1" customWidth="1"/>
    <col min="180" max="180" width="11" bestFit="1" customWidth="1"/>
    <col min="181" max="181" width="19.140625" bestFit="1" customWidth="1"/>
    <col min="182" max="182" width="13.5703125" bestFit="1" customWidth="1"/>
    <col min="183" max="183" width="11" bestFit="1" customWidth="1"/>
    <col min="184" max="184" width="19.140625" bestFit="1" customWidth="1"/>
    <col min="185" max="185" width="13.5703125" bestFit="1" customWidth="1"/>
    <col min="186" max="186" width="11" bestFit="1" customWidth="1"/>
    <col min="187" max="187" width="19.140625" bestFit="1" customWidth="1"/>
    <col min="188" max="188" width="13.5703125" bestFit="1" customWidth="1"/>
    <col min="189" max="189" width="11" bestFit="1" customWidth="1"/>
    <col min="190" max="190" width="19.140625" bestFit="1" customWidth="1"/>
    <col min="191" max="191" width="13.5703125" bestFit="1" customWidth="1"/>
    <col min="192" max="192" width="11" bestFit="1" customWidth="1"/>
    <col min="193" max="193" width="19.140625" bestFit="1" customWidth="1"/>
    <col min="194" max="194" width="13.5703125" bestFit="1" customWidth="1"/>
    <col min="195" max="195" width="11" bestFit="1" customWidth="1"/>
    <col min="196" max="196" width="19.140625" bestFit="1" customWidth="1"/>
    <col min="197" max="197" width="13.5703125" bestFit="1" customWidth="1"/>
    <col min="198" max="198" width="11" bestFit="1" customWidth="1"/>
    <col min="199" max="199" width="19.140625" bestFit="1" customWidth="1"/>
    <col min="200" max="200" width="13.5703125" bestFit="1" customWidth="1"/>
    <col min="201" max="201" width="11" bestFit="1" customWidth="1"/>
    <col min="202" max="202" width="19.140625" bestFit="1" customWidth="1"/>
    <col min="203" max="203" width="13.5703125" bestFit="1" customWidth="1"/>
    <col min="204" max="204" width="11" bestFit="1" customWidth="1"/>
    <col min="205" max="205" width="19.140625" bestFit="1" customWidth="1"/>
    <col min="206" max="206" width="13.5703125" bestFit="1" customWidth="1"/>
    <col min="207" max="207" width="11" bestFit="1" customWidth="1"/>
    <col min="208" max="208" width="19.140625" bestFit="1" customWidth="1"/>
    <col min="209" max="209" width="13.5703125" bestFit="1" customWidth="1"/>
    <col min="210" max="210" width="11" bestFit="1" customWidth="1"/>
    <col min="211" max="211" width="19.140625" bestFit="1" customWidth="1"/>
    <col min="212" max="212" width="13.5703125" bestFit="1" customWidth="1"/>
    <col min="213" max="213" width="11" bestFit="1" customWidth="1"/>
    <col min="214" max="214" width="19.140625" bestFit="1" customWidth="1"/>
    <col min="215" max="215" width="13.5703125" bestFit="1" customWidth="1"/>
    <col min="216" max="216" width="11" bestFit="1" customWidth="1"/>
    <col min="217" max="217" width="19.140625" bestFit="1" customWidth="1"/>
    <col min="218" max="218" width="13.5703125" bestFit="1" customWidth="1"/>
    <col min="219" max="219" width="11" bestFit="1" customWidth="1"/>
    <col min="220" max="220" width="19.140625" bestFit="1" customWidth="1"/>
    <col min="221" max="221" width="13.5703125" bestFit="1" customWidth="1"/>
    <col min="222" max="222" width="11" bestFit="1" customWidth="1"/>
    <col min="223" max="223" width="19.140625" bestFit="1" customWidth="1"/>
    <col min="224" max="224" width="13.5703125" bestFit="1" customWidth="1"/>
    <col min="225" max="225" width="11" bestFit="1" customWidth="1"/>
    <col min="226" max="226" width="19.140625" bestFit="1" customWidth="1"/>
    <col min="227" max="227" width="13.5703125" bestFit="1" customWidth="1"/>
    <col min="228" max="228" width="11" bestFit="1" customWidth="1"/>
    <col min="229" max="229" width="19.140625" bestFit="1" customWidth="1"/>
    <col min="230" max="230" width="13.5703125" bestFit="1" customWidth="1"/>
    <col min="231" max="231" width="11" bestFit="1" customWidth="1"/>
    <col min="232" max="232" width="19.140625" bestFit="1" customWidth="1"/>
    <col min="233" max="233" width="13.5703125" bestFit="1" customWidth="1"/>
    <col min="234" max="234" width="11" bestFit="1" customWidth="1"/>
    <col min="235" max="235" width="19.140625" bestFit="1" customWidth="1"/>
    <col min="236" max="236" width="13.5703125" bestFit="1" customWidth="1"/>
    <col min="237" max="237" width="11" bestFit="1" customWidth="1"/>
    <col min="238" max="238" width="19.140625" bestFit="1" customWidth="1"/>
    <col min="239" max="239" width="13.5703125" bestFit="1" customWidth="1"/>
    <col min="240" max="240" width="11" bestFit="1" customWidth="1"/>
    <col min="241" max="241" width="19.140625" bestFit="1" customWidth="1"/>
    <col min="242" max="242" width="13.5703125" bestFit="1" customWidth="1"/>
    <col min="243" max="243" width="11" bestFit="1" customWidth="1"/>
    <col min="244" max="244" width="19.140625" bestFit="1" customWidth="1"/>
    <col min="245" max="245" width="13.5703125" bestFit="1" customWidth="1"/>
    <col min="246" max="246" width="11" bestFit="1" customWidth="1"/>
    <col min="247" max="247" width="19.140625" bestFit="1" customWidth="1"/>
    <col min="248" max="248" width="13.5703125" bestFit="1" customWidth="1"/>
    <col min="249" max="249" width="11" bestFit="1" customWidth="1"/>
    <col min="250" max="250" width="19.140625" bestFit="1" customWidth="1"/>
    <col min="251" max="251" width="13.5703125" bestFit="1" customWidth="1"/>
    <col min="252" max="252" width="11" bestFit="1" customWidth="1"/>
    <col min="253" max="253" width="19.140625" bestFit="1" customWidth="1"/>
    <col min="254" max="254" width="13.5703125" bestFit="1" customWidth="1"/>
    <col min="255" max="255" width="11" bestFit="1" customWidth="1"/>
    <col min="256" max="256" width="19.140625" bestFit="1" customWidth="1"/>
    <col min="257" max="257" width="13.5703125" bestFit="1" customWidth="1"/>
    <col min="258" max="258" width="11" bestFit="1" customWidth="1"/>
    <col min="259" max="259" width="19.140625" bestFit="1" customWidth="1"/>
    <col min="260" max="260" width="13.5703125" bestFit="1" customWidth="1"/>
    <col min="261" max="261" width="11" bestFit="1" customWidth="1"/>
    <col min="262" max="262" width="19.140625" bestFit="1" customWidth="1"/>
    <col min="263" max="263" width="13.5703125" bestFit="1" customWidth="1"/>
    <col min="264" max="264" width="11" bestFit="1" customWidth="1"/>
    <col min="265" max="265" width="19.140625" bestFit="1" customWidth="1"/>
    <col min="266" max="266" width="13.5703125" bestFit="1" customWidth="1"/>
    <col min="267" max="267" width="11" bestFit="1" customWidth="1"/>
    <col min="268" max="268" width="19.140625" bestFit="1" customWidth="1"/>
    <col min="269" max="269" width="13.5703125" bestFit="1" customWidth="1"/>
    <col min="270" max="270" width="11" bestFit="1" customWidth="1"/>
    <col min="271" max="271" width="19.140625" bestFit="1" customWidth="1"/>
    <col min="272" max="272" width="13.5703125" bestFit="1" customWidth="1"/>
    <col min="273" max="273" width="11" bestFit="1" customWidth="1"/>
    <col min="274" max="274" width="19.140625" bestFit="1" customWidth="1"/>
    <col min="275" max="275" width="13.5703125" bestFit="1" customWidth="1"/>
    <col min="276" max="276" width="11" bestFit="1" customWidth="1"/>
    <col min="277" max="277" width="19.140625" bestFit="1" customWidth="1"/>
    <col min="278" max="278" width="13.5703125" bestFit="1" customWidth="1"/>
    <col min="279" max="279" width="11" bestFit="1" customWidth="1"/>
    <col min="280" max="280" width="19.140625" bestFit="1" customWidth="1"/>
    <col min="281" max="281" width="13.5703125" bestFit="1" customWidth="1"/>
    <col min="282" max="282" width="11" bestFit="1" customWidth="1"/>
    <col min="283" max="283" width="19.140625" bestFit="1" customWidth="1"/>
    <col min="284" max="284" width="13.5703125" bestFit="1" customWidth="1"/>
    <col min="285" max="285" width="11" bestFit="1" customWidth="1"/>
    <col min="286" max="286" width="19.140625" bestFit="1" customWidth="1"/>
    <col min="287" max="287" width="13.5703125" bestFit="1" customWidth="1"/>
    <col min="288" max="288" width="11" bestFit="1" customWidth="1"/>
    <col min="289" max="289" width="19.140625" bestFit="1" customWidth="1"/>
    <col min="290" max="290" width="13.5703125" bestFit="1" customWidth="1"/>
    <col min="291" max="291" width="11" bestFit="1" customWidth="1"/>
    <col min="292" max="292" width="19.140625" bestFit="1" customWidth="1"/>
    <col min="293" max="293" width="13.5703125" bestFit="1" customWidth="1"/>
    <col min="294" max="294" width="11" bestFit="1" customWidth="1"/>
    <col min="295" max="295" width="19.140625" bestFit="1" customWidth="1"/>
    <col min="296" max="296" width="13.5703125" bestFit="1" customWidth="1"/>
    <col min="297" max="297" width="11" bestFit="1" customWidth="1"/>
    <col min="298" max="298" width="19.140625" bestFit="1" customWidth="1"/>
    <col min="299" max="299" width="13.5703125" bestFit="1" customWidth="1"/>
    <col min="300" max="300" width="11" bestFit="1" customWidth="1"/>
    <col min="301" max="301" width="19.140625" bestFit="1" customWidth="1"/>
    <col min="302" max="302" width="13.5703125" bestFit="1" customWidth="1"/>
    <col min="303" max="303" width="11" bestFit="1" customWidth="1"/>
    <col min="304" max="304" width="19.140625" bestFit="1" customWidth="1"/>
    <col min="305" max="305" width="13.5703125" bestFit="1" customWidth="1"/>
    <col min="306" max="306" width="11" bestFit="1" customWidth="1"/>
    <col min="307" max="307" width="19.140625" bestFit="1" customWidth="1"/>
    <col min="308" max="308" width="13.5703125" bestFit="1" customWidth="1"/>
    <col min="309" max="309" width="11" bestFit="1" customWidth="1"/>
    <col min="310" max="310" width="19.140625" bestFit="1" customWidth="1"/>
    <col min="311" max="311" width="13.5703125" bestFit="1" customWidth="1"/>
    <col min="312" max="312" width="11" bestFit="1" customWidth="1"/>
    <col min="313" max="313" width="19.140625" bestFit="1" customWidth="1"/>
    <col min="314" max="314" width="13.5703125" bestFit="1" customWidth="1"/>
    <col min="315" max="315" width="11" bestFit="1" customWidth="1"/>
    <col min="316" max="316" width="19.140625" bestFit="1" customWidth="1"/>
    <col min="317" max="317" width="13.5703125" bestFit="1" customWidth="1"/>
    <col min="318" max="318" width="11" bestFit="1" customWidth="1"/>
    <col min="319" max="319" width="19.140625" bestFit="1" customWidth="1"/>
    <col min="320" max="320" width="13.5703125" bestFit="1" customWidth="1"/>
    <col min="321" max="321" width="11" bestFit="1" customWidth="1"/>
    <col min="322" max="322" width="19.140625" bestFit="1" customWidth="1"/>
    <col min="323" max="323" width="13.5703125" bestFit="1" customWidth="1"/>
    <col min="324" max="324" width="11" bestFit="1" customWidth="1"/>
    <col min="325" max="325" width="19.140625" bestFit="1" customWidth="1"/>
    <col min="326" max="326" width="13.5703125" bestFit="1" customWidth="1"/>
    <col min="327" max="327" width="11" bestFit="1" customWidth="1"/>
    <col min="328" max="328" width="19.140625" bestFit="1" customWidth="1"/>
    <col min="329" max="329" width="13.5703125" bestFit="1" customWidth="1"/>
    <col min="330" max="330" width="11" bestFit="1" customWidth="1"/>
    <col min="331" max="331" width="19.140625" bestFit="1" customWidth="1"/>
    <col min="332" max="332" width="13.5703125" bestFit="1" customWidth="1"/>
    <col min="333" max="333" width="11" bestFit="1" customWidth="1"/>
    <col min="334" max="334" width="19.140625" bestFit="1" customWidth="1"/>
    <col min="335" max="335" width="13.5703125" bestFit="1" customWidth="1"/>
    <col min="336" max="336" width="11" bestFit="1" customWidth="1"/>
    <col min="337" max="337" width="19.140625" bestFit="1" customWidth="1"/>
    <col min="338" max="338" width="13.5703125" bestFit="1" customWidth="1"/>
    <col min="339" max="339" width="11" bestFit="1" customWidth="1"/>
    <col min="340" max="340" width="19.140625" bestFit="1" customWidth="1"/>
    <col min="341" max="341" width="13.5703125" bestFit="1" customWidth="1"/>
    <col min="342" max="342" width="11" bestFit="1" customWidth="1"/>
    <col min="343" max="343" width="19.140625" bestFit="1" customWidth="1"/>
    <col min="344" max="344" width="13.5703125" bestFit="1" customWidth="1"/>
    <col min="345" max="345" width="11" bestFit="1" customWidth="1"/>
    <col min="346" max="346" width="19.140625" bestFit="1" customWidth="1"/>
    <col min="347" max="347" width="13.5703125" bestFit="1" customWidth="1"/>
    <col min="348" max="348" width="11" bestFit="1" customWidth="1"/>
    <col min="349" max="349" width="19.140625" bestFit="1" customWidth="1"/>
    <col min="350" max="350" width="13.5703125" bestFit="1" customWidth="1"/>
    <col min="351" max="351" width="11" bestFit="1" customWidth="1"/>
    <col min="352" max="352" width="19.140625" bestFit="1" customWidth="1"/>
    <col min="353" max="353" width="13.5703125" bestFit="1" customWidth="1"/>
    <col min="354" max="354" width="11" bestFit="1" customWidth="1"/>
    <col min="355" max="355" width="19.140625" bestFit="1" customWidth="1"/>
    <col min="356" max="356" width="13.5703125" bestFit="1" customWidth="1"/>
    <col min="357" max="357" width="11" bestFit="1" customWidth="1"/>
    <col min="358" max="358" width="19.140625" bestFit="1" customWidth="1"/>
    <col min="359" max="359" width="13.5703125" bestFit="1" customWidth="1"/>
    <col min="360" max="360" width="11" bestFit="1" customWidth="1"/>
    <col min="361" max="361" width="19.140625" bestFit="1" customWidth="1"/>
    <col min="362" max="362" width="13.5703125" bestFit="1" customWidth="1"/>
    <col min="363" max="363" width="11" bestFit="1" customWidth="1"/>
    <col min="364" max="364" width="19.140625" bestFit="1" customWidth="1"/>
    <col min="365" max="365" width="13.5703125" bestFit="1" customWidth="1"/>
    <col min="366" max="366" width="11" bestFit="1" customWidth="1"/>
    <col min="367" max="367" width="19.140625" bestFit="1" customWidth="1"/>
    <col min="368" max="368" width="13.5703125" bestFit="1" customWidth="1"/>
    <col min="369" max="369" width="11" bestFit="1" customWidth="1"/>
    <col min="370" max="370" width="19.140625" bestFit="1" customWidth="1"/>
    <col min="371" max="371" width="13.5703125" bestFit="1" customWidth="1"/>
    <col min="372" max="372" width="11" bestFit="1" customWidth="1"/>
    <col min="373" max="373" width="19.140625" bestFit="1" customWidth="1"/>
    <col min="374" max="374" width="13.5703125" bestFit="1" customWidth="1"/>
    <col min="375" max="375" width="11" bestFit="1" customWidth="1"/>
    <col min="376" max="376" width="19.140625" bestFit="1" customWidth="1"/>
    <col min="377" max="377" width="13.5703125" bestFit="1" customWidth="1"/>
    <col min="378" max="378" width="11" bestFit="1" customWidth="1"/>
    <col min="379" max="379" width="19.140625" bestFit="1" customWidth="1"/>
    <col min="380" max="380" width="13.5703125" bestFit="1" customWidth="1"/>
    <col min="381" max="381" width="11" bestFit="1" customWidth="1"/>
    <col min="382" max="382" width="19.140625" bestFit="1" customWidth="1"/>
    <col min="383" max="383" width="13.5703125" bestFit="1" customWidth="1"/>
    <col min="384" max="384" width="11" bestFit="1" customWidth="1"/>
    <col min="385" max="385" width="19.140625" bestFit="1" customWidth="1"/>
    <col min="386" max="386" width="13.5703125" bestFit="1" customWidth="1"/>
    <col min="387" max="387" width="11" bestFit="1" customWidth="1"/>
    <col min="388" max="388" width="19.140625" bestFit="1" customWidth="1"/>
    <col min="389" max="389" width="13.5703125" bestFit="1" customWidth="1"/>
    <col min="390" max="390" width="11" bestFit="1" customWidth="1"/>
    <col min="391" max="391" width="19.140625" bestFit="1" customWidth="1"/>
    <col min="392" max="392" width="13.5703125" bestFit="1" customWidth="1"/>
    <col min="393" max="393" width="11" bestFit="1" customWidth="1"/>
    <col min="394" max="394" width="19.140625" bestFit="1" customWidth="1"/>
    <col min="395" max="395" width="13.5703125" bestFit="1" customWidth="1"/>
    <col min="396" max="396" width="11" bestFit="1" customWidth="1"/>
    <col min="397" max="397" width="19.140625" bestFit="1" customWidth="1"/>
    <col min="398" max="398" width="13.5703125" bestFit="1" customWidth="1"/>
    <col min="399" max="399" width="11" bestFit="1" customWidth="1"/>
    <col min="400" max="400" width="19.140625" bestFit="1" customWidth="1"/>
    <col min="401" max="401" width="13.5703125" bestFit="1" customWidth="1"/>
    <col min="402" max="402" width="11" bestFit="1" customWidth="1"/>
    <col min="403" max="403" width="19.140625" bestFit="1" customWidth="1"/>
    <col min="404" max="404" width="13.5703125" bestFit="1" customWidth="1"/>
    <col min="405" max="405" width="11" bestFit="1" customWidth="1"/>
    <col min="406" max="406" width="19.140625" bestFit="1" customWidth="1"/>
    <col min="407" max="407" width="13.5703125" bestFit="1" customWidth="1"/>
    <col min="408" max="408" width="11" bestFit="1" customWidth="1"/>
    <col min="409" max="409" width="19.140625" bestFit="1" customWidth="1"/>
    <col min="410" max="410" width="13.5703125" bestFit="1" customWidth="1"/>
    <col min="411" max="411" width="11" bestFit="1" customWidth="1"/>
    <col min="412" max="412" width="19.140625" bestFit="1" customWidth="1"/>
    <col min="413" max="413" width="13.5703125" bestFit="1" customWidth="1"/>
    <col min="414" max="414" width="11" bestFit="1" customWidth="1"/>
    <col min="415" max="415" width="19.140625" bestFit="1" customWidth="1"/>
    <col min="416" max="416" width="13.5703125" bestFit="1" customWidth="1"/>
    <col min="417" max="417" width="11" bestFit="1" customWidth="1"/>
    <col min="418" max="418" width="19.140625" bestFit="1" customWidth="1"/>
    <col min="419" max="419" width="13.5703125" bestFit="1" customWidth="1"/>
    <col min="420" max="420" width="11" bestFit="1" customWidth="1"/>
    <col min="421" max="421" width="19.140625" bestFit="1" customWidth="1"/>
    <col min="422" max="422" width="13.5703125" bestFit="1" customWidth="1"/>
    <col min="423" max="423" width="11" bestFit="1" customWidth="1"/>
    <col min="424" max="424" width="19.140625" bestFit="1" customWidth="1"/>
    <col min="425" max="425" width="13.5703125" bestFit="1" customWidth="1"/>
    <col min="426" max="426" width="11" bestFit="1" customWidth="1"/>
    <col min="427" max="427" width="19.140625" bestFit="1" customWidth="1"/>
    <col min="428" max="428" width="13.5703125" bestFit="1" customWidth="1"/>
    <col min="429" max="429" width="11" bestFit="1" customWidth="1"/>
    <col min="430" max="430" width="19.140625" bestFit="1" customWidth="1"/>
    <col min="431" max="431" width="13.5703125" bestFit="1" customWidth="1"/>
    <col min="432" max="432" width="11" bestFit="1" customWidth="1"/>
    <col min="433" max="433" width="19.140625" bestFit="1" customWidth="1"/>
    <col min="434" max="434" width="13.5703125" bestFit="1" customWidth="1"/>
    <col min="435" max="435" width="11" bestFit="1" customWidth="1"/>
    <col min="436" max="436" width="19.140625" bestFit="1" customWidth="1"/>
    <col min="437" max="437" width="13.5703125" bestFit="1" customWidth="1"/>
    <col min="438" max="438" width="11" bestFit="1" customWidth="1"/>
    <col min="439" max="439" width="19.140625" bestFit="1" customWidth="1"/>
    <col min="440" max="440" width="13.5703125" bestFit="1" customWidth="1"/>
    <col min="441" max="441" width="11" bestFit="1" customWidth="1"/>
    <col min="442" max="442" width="19.140625" bestFit="1" customWidth="1"/>
    <col min="443" max="443" width="13.5703125" bestFit="1" customWidth="1"/>
    <col min="444" max="444" width="11" bestFit="1" customWidth="1"/>
    <col min="445" max="445" width="19.140625" bestFit="1" customWidth="1"/>
    <col min="446" max="446" width="13.5703125" bestFit="1" customWidth="1"/>
    <col min="447" max="447" width="11" bestFit="1" customWidth="1"/>
    <col min="448" max="448" width="19.140625" bestFit="1" customWidth="1"/>
    <col min="449" max="449" width="13.5703125" bestFit="1" customWidth="1"/>
    <col min="450" max="450" width="11" bestFit="1" customWidth="1"/>
    <col min="451" max="451" width="19.140625" bestFit="1" customWidth="1"/>
    <col min="452" max="452" width="13.5703125" bestFit="1" customWidth="1"/>
    <col min="453" max="453" width="11" bestFit="1" customWidth="1"/>
    <col min="454" max="454" width="19.140625" bestFit="1" customWidth="1"/>
    <col min="455" max="455" width="13.5703125" bestFit="1" customWidth="1"/>
    <col min="456" max="456" width="11" bestFit="1" customWidth="1"/>
    <col min="457" max="457" width="19.140625" bestFit="1" customWidth="1"/>
    <col min="458" max="458" width="13.5703125" bestFit="1" customWidth="1"/>
    <col min="459" max="459" width="11" bestFit="1" customWidth="1"/>
    <col min="460" max="460" width="19.140625" bestFit="1" customWidth="1"/>
    <col min="461" max="461" width="13.5703125" bestFit="1" customWidth="1"/>
    <col min="462" max="462" width="11" bestFit="1" customWidth="1"/>
    <col min="463" max="463" width="19.140625" bestFit="1" customWidth="1"/>
    <col min="464" max="464" width="13.5703125" bestFit="1" customWidth="1"/>
    <col min="465" max="465" width="11" bestFit="1" customWidth="1"/>
    <col min="466" max="466" width="19.140625" bestFit="1" customWidth="1"/>
    <col min="467" max="467" width="13.5703125" bestFit="1" customWidth="1"/>
    <col min="468" max="468" width="11" bestFit="1" customWidth="1"/>
    <col min="469" max="469" width="19.140625" bestFit="1" customWidth="1"/>
    <col min="470" max="470" width="13.5703125" bestFit="1" customWidth="1"/>
    <col min="471" max="471" width="11" bestFit="1" customWidth="1"/>
    <col min="472" max="472" width="19.140625" bestFit="1" customWidth="1"/>
    <col min="473" max="473" width="13.5703125" bestFit="1" customWidth="1"/>
    <col min="474" max="474" width="11" bestFit="1" customWidth="1"/>
    <col min="475" max="475" width="19.140625" bestFit="1" customWidth="1"/>
    <col min="476" max="476" width="13.5703125" bestFit="1" customWidth="1"/>
    <col min="477" max="477" width="11" bestFit="1" customWidth="1"/>
    <col min="478" max="478" width="19.140625" bestFit="1" customWidth="1"/>
    <col min="479" max="479" width="13.5703125" bestFit="1" customWidth="1"/>
    <col min="480" max="480" width="11" bestFit="1" customWidth="1"/>
    <col min="481" max="481" width="19.140625" bestFit="1" customWidth="1"/>
    <col min="482" max="482" width="13.5703125" bestFit="1" customWidth="1"/>
    <col min="483" max="483" width="11" bestFit="1" customWidth="1"/>
    <col min="484" max="484" width="19.140625" bestFit="1" customWidth="1"/>
    <col min="485" max="485" width="13.5703125" bestFit="1" customWidth="1"/>
    <col min="486" max="486" width="11" bestFit="1" customWidth="1"/>
    <col min="487" max="487" width="19.140625" bestFit="1" customWidth="1"/>
    <col min="488" max="488" width="13.5703125" bestFit="1" customWidth="1"/>
    <col min="489" max="489" width="11" bestFit="1" customWidth="1"/>
    <col min="490" max="490" width="19.140625" bestFit="1" customWidth="1"/>
    <col min="491" max="491" width="13.5703125" bestFit="1" customWidth="1"/>
    <col min="492" max="492" width="11" bestFit="1" customWidth="1"/>
    <col min="493" max="493" width="19.140625" bestFit="1" customWidth="1"/>
    <col min="494" max="494" width="13.5703125" bestFit="1" customWidth="1"/>
    <col min="495" max="495" width="11" bestFit="1" customWidth="1"/>
    <col min="496" max="496" width="19.140625" bestFit="1" customWidth="1"/>
    <col min="497" max="497" width="13.5703125" bestFit="1" customWidth="1"/>
    <col min="498" max="498" width="11" bestFit="1" customWidth="1"/>
    <col min="499" max="499" width="19.140625" bestFit="1" customWidth="1"/>
    <col min="500" max="500" width="13.5703125" bestFit="1" customWidth="1"/>
    <col min="501" max="501" width="11" bestFit="1" customWidth="1"/>
    <col min="502" max="502" width="19.140625" bestFit="1" customWidth="1"/>
    <col min="503" max="503" width="13.5703125" bestFit="1" customWidth="1"/>
    <col min="504" max="504" width="11" bestFit="1" customWidth="1"/>
    <col min="505" max="505" width="19.140625" bestFit="1" customWidth="1"/>
    <col min="506" max="506" width="13.5703125" bestFit="1" customWidth="1"/>
    <col min="507" max="507" width="11" bestFit="1" customWidth="1"/>
    <col min="508" max="508" width="19.140625" bestFit="1" customWidth="1"/>
    <col min="509" max="509" width="13.5703125" bestFit="1" customWidth="1"/>
    <col min="510" max="510" width="11" bestFit="1" customWidth="1"/>
    <col min="511" max="511" width="19.140625" bestFit="1" customWidth="1"/>
    <col min="512" max="512" width="13.5703125" bestFit="1" customWidth="1"/>
    <col min="513" max="513" width="11" bestFit="1" customWidth="1"/>
    <col min="514" max="514" width="19.140625" bestFit="1" customWidth="1"/>
    <col min="515" max="515" width="13.5703125" bestFit="1" customWidth="1"/>
    <col min="516" max="516" width="11" bestFit="1" customWidth="1"/>
    <col min="517" max="517" width="19.140625" bestFit="1" customWidth="1"/>
    <col min="518" max="518" width="13.5703125" bestFit="1" customWidth="1"/>
    <col min="519" max="519" width="11" bestFit="1" customWidth="1"/>
    <col min="520" max="520" width="19.140625" bestFit="1" customWidth="1"/>
    <col min="521" max="521" width="13.5703125" bestFit="1" customWidth="1"/>
    <col min="522" max="522" width="11" bestFit="1" customWidth="1"/>
    <col min="523" max="523" width="19.140625" bestFit="1" customWidth="1"/>
    <col min="524" max="524" width="13.5703125" bestFit="1" customWidth="1"/>
    <col min="525" max="525" width="11" bestFit="1" customWidth="1"/>
    <col min="526" max="526" width="19.140625" bestFit="1" customWidth="1"/>
    <col min="527" max="527" width="13.5703125" bestFit="1" customWidth="1"/>
    <col min="528" max="528" width="11" bestFit="1" customWidth="1"/>
    <col min="529" max="529" width="19.140625" bestFit="1" customWidth="1"/>
    <col min="530" max="530" width="13.5703125" bestFit="1" customWidth="1"/>
    <col min="531" max="531" width="11" bestFit="1" customWidth="1"/>
    <col min="532" max="532" width="19.140625" bestFit="1" customWidth="1"/>
    <col min="533" max="533" width="13.5703125" bestFit="1" customWidth="1"/>
    <col min="534" max="534" width="11" bestFit="1" customWidth="1"/>
    <col min="535" max="535" width="19.140625" bestFit="1" customWidth="1"/>
    <col min="536" max="536" width="13.5703125" bestFit="1" customWidth="1"/>
    <col min="537" max="537" width="11" bestFit="1" customWidth="1"/>
    <col min="538" max="538" width="19.140625" bestFit="1" customWidth="1"/>
    <col min="539" max="539" width="13.5703125" bestFit="1" customWidth="1"/>
    <col min="540" max="540" width="11" bestFit="1" customWidth="1"/>
    <col min="541" max="541" width="19.140625" bestFit="1" customWidth="1"/>
    <col min="542" max="542" width="13.5703125" bestFit="1" customWidth="1"/>
    <col min="543" max="543" width="11" bestFit="1" customWidth="1"/>
    <col min="544" max="544" width="19.140625" bestFit="1" customWidth="1"/>
    <col min="545" max="545" width="13.5703125" bestFit="1" customWidth="1"/>
    <col min="546" max="546" width="11" bestFit="1" customWidth="1"/>
    <col min="547" max="547" width="19.140625" bestFit="1" customWidth="1"/>
    <col min="548" max="548" width="13.5703125" bestFit="1" customWidth="1"/>
    <col min="549" max="549" width="11" bestFit="1" customWidth="1"/>
    <col min="550" max="550" width="19.140625" bestFit="1" customWidth="1"/>
    <col min="551" max="551" width="13.5703125" bestFit="1" customWidth="1"/>
    <col min="552" max="552" width="11" bestFit="1" customWidth="1"/>
    <col min="553" max="553" width="19.140625" bestFit="1" customWidth="1"/>
    <col min="554" max="554" width="13.5703125" bestFit="1" customWidth="1"/>
    <col min="555" max="555" width="11" bestFit="1" customWidth="1"/>
    <col min="556" max="556" width="19.140625" bestFit="1" customWidth="1"/>
    <col min="557" max="557" width="13.5703125" bestFit="1" customWidth="1"/>
    <col min="558" max="558" width="11" bestFit="1" customWidth="1"/>
    <col min="559" max="559" width="19.140625" bestFit="1" customWidth="1"/>
    <col min="560" max="560" width="13.5703125" bestFit="1" customWidth="1"/>
    <col min="561" max="561" width="11" bestFit="1" customWidth="1"/>
    <col min="562" max="562" width="19.140625" bestFit="1" customWidth="1"/>
    <col min="563" max="563" width="13.5703125" bestFit="1" customWidth="1"/>
    <col min="564" max="564" width="11" bestFit="1" customWidth="1"/>
    <col min="565" max="565" width="19.140625" bestFit="1" customWidth="1"/>
    <col min="566" max="566" width="13.5703125" bestFit="1" customWidth="1"/>
    <col min="567" max="567" width="11" bestFit="1" customWidth="1"/>
    <col min="568" max="568" width="19.140625" bestFit="1" customWidth="1"/>
    <col min="569" max="569" width="13.5703125" bestFit="1" customWidth="1"/>
    <col min="570" max="570" width="11" bestFit="1" customWidth="1"/>
    <col min="571" max="571" width="19.140625" bestFit="1" customWidth="1"/>
    <col min="572" max="572" width="13.5703125" bestFit="1" customWidth="1"/>
    <col min="573" max="573" width="11" bestFit="1" customWidth="1"/>
    <col min="574" max="574" width="19.140625" bestFit="1" customWidth="1"/>
    <col min="575" max="575" width="13.5703125" bestFit="1" customWidth="1"/>
    <col min="576" max="576" width="11" bestFit="1" customWidth="1"/>
    <col min="577" max="577" width="19.140625" bestFit="1" customWidth="1"/>
    <col min="578" max="578" width="13.5703125" bestFit="1" customWidth="1"/>
    <col min="579" max="579" width="11" bestFit="1" customWidth="1"/>
    <col min="580" max="580" width="19.140625" bestFit="1" customWidth="1"/>
    <col min="581" max="581" width="13.5703125" bestFit="1" customWidth="1"/>
    <col min="582" max="582" width="11" bestFit="1" customWidth="1"/>
    <col min="583" max="583" width="19.140625" bestFit="1" customWidth="1"/>
    <col min="584" max="584" width="13.5703125" bestFit="1" customWidth="1"/>
    <col min="585" max="585" width="11" bestFit="1" customWidth="1"/>
    <col min="586" max="586" width="19.140625" bestFit="1" customWidth="1"/>
    <col min="587" max="587" width="13.5703125" bestFit="1" customWidth="1"/>
    <col min="588" max="588" width="11" bestFit="1" customWidth="1"/>
    <col min="589" max="589" width="19.140625" bestFit="1" customWidth="1"/>
    <col min="590" max="590" width="13.5703125" bestFit="1" customWidth="1"/>
    <col min="591" max="591" width="11" bestFit="1" customWidth="1"/>
    <col min="592" max="592" width="19.140625" bestFit="1" customWidth="1"/>
    <col min="593" max="593" width="13.5703125" bestFit="1" customWidth="1"/>
    <col min="594" max="594" width="11" bestFit="1" customWidth="1"/>
    <col min="595" max="595" width="19.140625" bestFit="1" customWidth="1"/>
    <col min="596" max="596" width="13.5703125" bestFit="1" customWidth="1"/>
    <col min="597" max="597" width="11" bestFit="1" customWidth="1"/>
    <col min="598" max="598" width="19.140625" bestFit="1" customWidth="1"/>
    <col min="599" max="599" width="13.5703125" bestFit="1" customWidth="1"/>
    <col min="600" max="600" width="11" bestFit="1" customWidth="1"/>
    <col min="601" max="601" width="19.140625" bestFit="1" customWidth="1"/>
    <col min="602" max="602" width="13.5703125" bestFit="1" customWidth="1"/>
    <col min="603" max="603" width="11" bestFit="1" customWidth="1"/>
    <col min="604" max="604" width="19.140625" bestFit="1" customWidth="1"/>
    <col min="605" max="605" width="13.5703125" bestFit="1" customWidth="1"/>
    <col min="606" max="606" width="11" bestFit="1" customWidth="1"/>
    <col min="607" max="607" width="19.140625" bestFit="1" customWidth="1"/>
    <col min="608" max="608" width="13.5703125" bestFit="1" customWidth="1"/>
    <col min="609" max="609" width="11" bestFit="1" customWidth="1"/>
    <col min="610" max="610" width="19.140625" bestFit="1" customWidth="1"/>
    <col min="611" max="611" width="13.5703125" bestFit="1" customWidth="1"/>
    <col min="612" max="612" width="11" bestFit="1" customWidth="1"/>
    <col min="613" max="613" width="19.140625" bestFit="1" customWidth="1"/>
    <col min="614" max="614" width="13.5703125" bestFit="1" customWidth="1"/>
    <col min="615" max="615" width="11" bestFit="1" customWidth="1"/>
    <col min="616" max="616" width="19.140625" bestFit="1" customWidth="1"/>
    <col min="617" max="617" width="13.5703125" bestFit="1" customWidth="1"/>
    <col min="618" max="618" width="11" bestFit="1" customWidth="1"/>
    <col min="619" max="619" width="19.140625" bestFit="1" customWidth="1"/>
    <col min="620" max="620" width="13.5703125" bestFit="1" customWidth="1"/>
    <col min="621" max="621" width="11" bestFit="1" customWidth="1"/>
    <col min="622" max="622" width="19.140625" bestFit="1" customWidth="1"/>
    <col min="623" max="623" width="13.5703125" bestFit="1" customWidth="1"/>
    <col min="624" max="624" width="11" bestFit="1" customWidth="1"/>
    <col min="625" max="625" width="19.140625" bestFit="1" customWidth="1"/>
    <col min="626" max="626" width="13.5703125" bestFit="1" customWidth="1"/>
    <col min="627" max="627" width="11" bestFit="1" customWidth="1"/>
    <col min="628" max="628" width="19.140625" bestFit="1" customWidth="1"/>
    <col min="629" max="629" width="13.5703125" bestFit="1" customWidth="1"/>
    <col min="630" max="630" width="11" bestFit="1" customWidth="1"/>
    <col min="631" max="631" width="19.140625" bestFit="1" customWidth="1"/>
    <col min="632" max="632" width="13.5703125" bestFit="1" customWidth="1"/>
    <col min="633" max="633" width="11" bestFit="1" customWidth="1"/>
    <col min="634" max="634" width="19.140625" bestFit="1" customWidth="1"/>
    <col min="635" max="635" width="13.5703125" bestFit="1" customWidth="1"/>
    <col min="636" max="636" width="11" bestFit="1" customWidth="1"/>
    <col min="637" max="637" width="19.140625" bestFit="1" customWidth="1"/>
    <col min="638" max="638" width="13.5703125" bestFit="1" customWidth="1"/>
    <col min="639" max="639" width="11" bestFit="1" customWidth="1"/>
    <col min="640" max="640" width="19.140625" bestFit="1" customWidth="1"/>
    <col min="641" max="641" width="13.5703125" bestFit="1" customWidth="1"/>
    <col min="642" max="642" width="11" bestFit="1" customWidth="1"/>
    <col min="643" max="643" width="19.140625" bestFit="1" customWidth="1"/>
    <col min="644" max="644" width="13.5703125" bestFit="1" customWidth="1"/>
    <col min="645" max="645" width="11" bestFit="1" customWidth="1"/>
    <col min="646" max="646" width="19.140625" bestFit="1" customWidth="1"/>
    <col min="647" max="647" width="13.5703125" bestFit="1" customWidth="1"/>
    <col min="648" max="648" width="11" bestFit="1" customWidth="1"/>
    <col min="649" max="649" width="19.140625" bestFit="1" customWidth="1"/>
    <col min="650" max="650" width="13.5703125" bestFit="1" customWidth="1"/>
    <col min="651" max="651" width="11" bestFit="1" customWidth="1"/>
    <col min="652" max="652" width="19.140625" bestFit="1" customWidth="1"/>
    <col min="653" max="653" width="13.5703125" bestFit="1" customWidth="1"/>
    <col min="654" max="654" width="11" bestFit="1" customWidth="1"/>
    <col min="655" max="655" width="19.140625" bestFit="1" customWidth="1"/>
    <col min="656" max="656" width="13.5703125" bestFit="1" customWidth="1"/>
    <col min="657" max="657" width="11" bestFit="1" customWidth="1"/>
    <col min="658" max="658" width="19.140625" bestFit="1" customWidth="1"/>
    <col min="659" max="659" width="13.5703125" bestFit="1" customWidth="1"/>
    <col min="660" max="660" width="11" bestFit="1" customWidth="1"/>
    <col min="661" max="661" width="19.140625" bestFit="1" customWidth="1"/>
    <col min="662" max="662" width="13.5703125" bestFit="1" customWidth="1"/>
    <col min="663" max="663" width="11" bestFit="1" customWidth="1"/>
    <col min="664" max="664" width="19.140625" bestFit="1" customWidth="1"/>
    <col min="665" max="665" width="13.5703125" bestFit="1" customWidth="1"/>
    <col min="666" max="666" width="11" bestFit="1" customWidth="1"/>
    <col min="667" max="667" width="19.140625" bestFit="1" customWidth="1"/>
    <col min="668" max="668" width="13.5703125" bestFit="1" customWidth="1"/>
    <col min="669" max="669" width="11" bestFit="1" customWidth="1"/>
    <col min="670" max="670" width="19.140625" bestFit="1" customWidth="1"/>
    <col min="671" max="671" width="13.5703125" bestFit="1" customWidth="1"/>
    <col min="672" max="672" width="11" bestFit="1" customWidth="1"/>
    <col min="673" max="673" width="19.140625" bestFit="1" customWidth="1"/>
    <col min="674" max="674" width="13.5703125" bestFit="1" customWidth="1"/>
    <col min="675" max="675" width="11" bestFit="1" customWidth="1"/>
    <col min="676" max="676" width="19.140625" bestFit="1" customWidth="1"/>
    <col min="677" max="677" width="13.5703125" bestFit="1" customWidth="1"/>
    <col min="678" max="678" width="11" bestFit="1" customWidth="1"/>
    <col min="679" max="679" width="19.140625" bestFit="1" customWidth="1"/>
    <col min="680" max="680" width="13.5703125" bestFit="1" customWidth="1"/>
    <col min="681" max="681" width="11" bestFit="1" customWidth="1"/>
    <col min="682" max="682" width="19.140625" bestFit="1" customWidth="1"/>
    <col min="683" max="683" width="13.5703125" bestFit="1" customWidth="1"/>
    <col min="684" max="684" width="11" bestFit="1" customWidth="1"/>
    <col min="685" max="685" width="19.140625" bestFit="1" customWidth="1"/>
    <col min="686" max="686" width="13.5703125" bestFit="1" customWidth="1"/>
    <col min="687" max="687" width="11" bestFit="1" customWidth="1"/>
    <col min="688" max="688" width="19.140625" bestFit="1" customWidth="1"/>
    <col min="689" max="689" width="13.5703125" bestFit="1" customWidth="1"/>
    <col min="690" max="690" width="11" bestFit="1" customWidth="1"/>
    <col min="691" max="691" width="19.140625" bestFit="1" customWidth="1"/>
    <col min="692" max="692" width="13.5703125" bestFit="1" customWidth="1"/>
    <col min="693" max="693" width="11" bestFit="1" customWidth="1"/>
    <col min="694" max="694" width="19.140625" bestFit="1" customWidth="1"/>
    <col min="695" max="695" width="13.5703125" bestFit="1" customWidth="1"/>
    <col min="696" max="696" width="11" bestFit="1" customWidth="1"/>
    <col min="697" max="697" width="19.140625" bestFit="1" customWidth="1"/>
    <col min="698" max="698" width="13.5703125" bestFit="1" customWidth="1"/>
    <col min="699" max="699" width="11" bestFit="1" customWidth="1"/>
    <col min="700" max="700" width="19.140625" bestFit="1" customWidth="1"/>
    <col min="701" max="701" width="13.5703125" bestFit="1" customWidth="1"/>
    <col min="702" max="702" width="11" bestFit="1" customWidth="1"/>
    <col min="703" max="703" width="19.140625" bestFit="1" customWidth="1"/>
    <col min="704" max="704" width="13.5703125" bestFit="1" customWidth="1"/>
    <col min="705" max="705" width="11" bestFit="1" customWidth="1"/>
    <col min="706" max="706" width="19.140625" bestFit="1" customWidth="1"/>
    <col min="707" max="707" width="13.5703125" bestFit="1" customWidth="1"/>
    <col min="708" max="708" width="11" bestFit="1" customWidth="1"/>
    <col min="709" max="709" width="19.140625" bestFit="1" customWidth="1"/>
    <col min="710" max="710" width="13.5703125" bestFit="1" customWidth="1"/>
    <col min="711" max="711" width="11" bestFit="1" customWidth="1"/>
    <col min="712" max="712" width="19.140625" bestFit="1" customWidth="1"/>
    <col min="713" max="713" width="13.5703125" bestFit="1" customWidth="1"/>
    <col min="714" max="714" width="11" bestFit="1" customWidth="1"/>
    <col min="715" max="715" width="19.140625" bestFit="1" customWidth="1"/>
    <col min="716" max="716" width="13.5703125" bestFit="1" customWidth="1"/>
    <col min="717" max="717" width="11" bestFit="1" customWidth="1"/>
    <col min="718" max="718" width="19.140625" bestFit="1" customWidth="1"/>
    <col min="719" max="719" width="13.5703125" bestFit="1" customWidth="1"/>
    <col min="720" max="720" width="11" bestFit="1" customWidth="1"/>
    <col min="721" max="721" width="19.140625" bestFit="1" customWidth="1"/>
    <col min="722" max="722" width="18.5703125" bestFit="1" customWidth="1"/>
    <col min="723" max="723" width="16" bestFit="1" customWidth="1"/>
    <col min="724" max="724" width="24.140625" bestFit="1" customWidth="1"/>
  </cols>
  <sheetData>
    <row r="1" spans="1:4" x14ac:dyDescent="0.25">
      <c r="A1" s="23" t="s">
        <v>16</v>
      </c>
      <c r="B1" t="s" vm="4">
        <v>999</v>
      </c>
    </row>
    <row r="2" spans="1:4" x14ac:dyDescent="0.25">
      <c r="A2" s="23" t="s">
        <v>997</v>
      </c>
      <c r="B2" t="s" vm="2">
        <v>23</v>
      </c>
    </row>
    <row r="3" spans="1:4" x14ac:dyDescent="0.25">
      <c r="A3" s="23" t="s">
        <v>998</v>
      </c>
      <c r="B3" t="s" vm="3">
        <v>23</v>
      </c>
    </row>
    <row r="5" spans="1:4" x14ac:dyDescent="0.25">
      <c r="A5" s="23" t="s">
        <v>946</v>
      </c>
      <c r="B5" t="s">
        <v>951</v>
      </c>
      <c r="C5" t="s">
        <v>948</v>
      </c>
      <c r="D5" t="s">
        <v>950</v>
      </c>
    </row>
    <row r="6" spans="1:4" x14ac:dyDescent="0.25">
      <c r="A6" s="22" t="s">
        <v>971</v>
      </c>
      <c r="B6" s="24">
        <v>29.09090909090909</v>
      </c>
      <c r="C6" s="26">
        <v>11</v>
      </c>
      <c r="D6" s="24">
        <v>320</v>
      </c>
    </row>
    <row r="7" spans="1:4" x14ac:dyDescent="0.25">
      <c r="A7" s="22" t="s">
        <v>972</v>
      </c>
      <c r="B7" s="24">
        <v>19.676470588235293</v>
      </c>
      <c r="C7" s="26">
        <v>17</v>
      </c>
      <c r="D7" s="24">
        <v>334.5</v>
      </c>
    </row>
    <row r="8" spans="1:4" x14ac:dyDescent="0.25">
      <c r="A8" s="22" t="s">
        <v>970</v>
      </c>
      <c r="B8" s="24">
        <v>28.107142857142858</v>
      </c>
      <c r="C8" s="26">
        <v>7</v>
      </c>
      <c r="D8" s="24">
        <v>196.75</v>
      </c>
    </row>
    <row r="9" spans="1:4" x14ac:dyDescent="0.25">
      <c r="A9" s="22" t="s">
        <v>17</v>
      </c>
      <c r="B9" s="24">
        <v>34.799999999999997</v>
      </c>
      <c r="C9" s="26">
        <v>10</v>
      </c>
      <c r="D9" s="24">
        <v>348</v>
      </c>
    </row>
    <row r="10" spans="1:4" x14ac:dyDescent="0.25">
      <c r="A10" s="22" t="s">
        <v>947</v>
      </c>
      <c r="B10" s="24">
        <v>54.511363636363633</v>
      </c>
      <c r="C10" s="26">
        <v>22</v>
      </c>
      <c r="D10" s="24">
        <v>1199.25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2D050"/>
  </sheetPr>
  <dimension ref="A1:C14"/>
  <sheetViews>
    <sheetView workbookViewId="0">
      <selection activeCell="A4" sqref="A4"/>
    </sheetView>
  </sheetViews>
  <sheetFormatPr defaultRowHeight="15" x14ac:dyDescent="0.25"/>
  <cols>
    <col min="1" max="1" width="13.140625" customWidth="1"/>
    <col min="2" max="2" width="19" customWidth="1"/>
    <col min="3" max="3" width="15.5703125" bestFit="1" customWidth="1"/>
  </cols>
  <sheetData>
    <row r="1" spans="1:3" x14ac:dyDescent="0.25">
      <c r="A1" s="23" t="s">
        <v>15</v>
      </c>
      <c r="B1" t="s">
        <v>960</v>
      </c>
    </row>
    <row r="2" spans="1:3" x14ac:dyDescent="0.25">
      <c r="A2" s="23" t="s">
        <v>964</v>
      </c>
      <c r="B2" t="s">
        <v>960</v>
      </c>
    </row>
    <row r="4" spans="1:3" x14ac:dyDescent="0.25">
      <c r="A4" s="23" t="s">
        <v>946</v>
      </c>
      <c r="B4" t="s">
        <v>1002</v>
      </c>
      <c r="C4" t="s">
        <v>1003</v>
      </c>
    </row>
    <row r="5" spans="1:3" x14ac:dyDescent="0.25">
      <c r="A5" s="22" t="s">
        <v>1004</v>
      </c>
      <c r="B5" s="24">
        <v>95.454999999999998</v>
      </c>
      <c r="C5" s="45">
        <v>5911.5281499999992</v>
      </c>
    </row>
    <row r="6" spans="1:3" x14ac:dyDescent="0.25">
      <c r="A6" s="22" t="s">
        <v>1030</v>
      </c>
      <c r="B6" s="24">
        <v>5.0362500000000008</v>
      </c>
      <c r="C6" s="45">
        <v>311.89496250000002</v>
      </c>
    </row>
    <row r="7" spans="1:3" x14ac:dyDescent="0.25">
      <c r="A7" s="22" t="s">
        <v>1000</v>
      </c>
      <c r="B7" s="24">
        <v>17.412500000000001</v>
      </c>
      <c r="C7" s="45">
        <v>1078.356125</v>
      </c>
    </row>
    <row r="8" spans="1:3" x14ac:dyDescent="0.25">
      <c r="A8" s="22" t="s">
        <v>1</v>
      </c>
      <c r="B8" s="24">
        <v>14.318750000000003</v>
      </c>
      <c r="C8" s="45">
        <v>2244.9625000000001</v>
      </c>
    </row>
    <row r="9" spans="1:3" x14ac:dyDescent="0.25">
      <c r="A9" s="22" t="s">
        <v>1029</v>
      </c>
      <c r="B9" s="24">
        <v>14</v>
      </c>
      <c r="C9" s="45">
        <v>867.02</v>
      </c>
    </row>
    <row r="10" spans="1:3" x14ac:dyDescent="0.25">
      <c r="A10" s="22" t="s">
        <v>968</v>
      </c>
      <c r="B10" s="24">
        <v>314.23749999999961</v>
      </c>
      <c r="C10" s="45">
        <v>39681.647499999912</v>
      </c>
    </row>
    <row r="11" spans="1:3" x14ac:dyDescent="0.25">
      <c r="A11" s="22" t="s">
        <v>1001</v>
      </c>
      <c r="B11" s="24">
        <v>6.1724999999999994</v>
      </c>
      <c r="C11" s="45">
        <v>382.26292499999994</v>
      </c>
    </row>
    <row r="12" spans="1:3" x14ac:dyDescent="0.25">
      <c r="A12" s="22" t="s">
        <v>1026</v>
      </c>
      <c r="B12" s="24">
        <v>247.10064999999994</v>
      </c>
      <c r="C12" s="45">
        <v>16881.771192000011</v>
      </c>
    </row>
    <row r="13" spans="1:3" x14ac:dyDescent="0.25">
      <c r="A13" s="22" t="s">
        <v>1027</v>
      </c>
      <c r="B13" s="24">
        <v>96.259999999999991</v>
      </c>
      <c r="C13" s="45">
        <v>9645.5975000000053</v>
      </c>
    </row>
    <row r="14" spans="1:3" x14ac:dyDescent="0.25">
      <c r="A14" s="22" t="s">
        <v>947</v>
      </c>
      <c r="B14" s="24">
        <v>809.99314999999956</v>
      </c>
      <c r="C14" s="45">
        <v>77005.040854499923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FB6B53"/>
  </sheetPr>
  <dimension ref="A1:D92"/>
  <sheetViews>
    <sheetView zoomScale="85" zoomScaleNormal="85" workbookViewId="0">
      <selection activeCell="A4" sqref="A4"/>
    </sheetView>
  </sheetViews>
  <sheetFormatPr defaultRowHeight="15" x14ac:dyDescent="0.25"/>
  <cols>
    <col min="1" max="1" width="13.28515625" customWidth="1"/>
    <col min="2" max="4" width="12" customWidth="1"/>
    <col min="5" max="5" width="10.5703125" customWidth="1"/>
    <col min="6" max="6" width="12.5703125" customWidth="1"/>
    <col min="7" max="7" width="11.5703125" customWidth="1"/>
    <col min="8" max="8" width="24.85546875" customWidth="1"/>
    <col min="9" max="10" width="22.85546875" customWidth="1"/>
    <col min="11" max="25" width="12" customWidth="1"/>
    <col min="26" max="26" width="12.42578125" bestFit="1" customWidth="1"/>
    <col min="27" max="27" width="12" customWidth="1"/>
    <col min="28" max="28" width="12.5703125" customWidth="1"/>
    <col min="29" max="289" width="8.7109375" customWidth="1"/>
    <col min="290" max="290" width="11.28515625" bestFit="1" customWidth="1"/>
  </cols>
  <sheetData>
    <row r="1" spans="1:4" x14ac:dyDescent="0.25">
      <c r="A1" s="23" t="s">
        <v>15</v>
      </c>
      <c r="B1" t="s">
        <v>960</v>
      </c>
    </row>
    <row r="2" spans="1:4" x14ac:dyDescent="0.25">
      <c r="A2" s="35" t="s">
        <v>964</v>
      </c>
      <c r="B2" t="s">
        <v>960</v>
      </c>
    </row>
    <row r="3" spans="1:4" ht="15.75" thickBot="1" x14ac:dyDescent="0.3"/>
    <row r="4" spans="1:4" ht="30.75" thickBot="1" x14ac:dyDescent="0.3">
      <c r="A4" s="28" t="s">
        <v>946</v>
      </c>
      <c r="B4" s="29" t="s">
        <v>961</v>
      </c>
      <c r="C4" s="31" t="s">
        <v>962</v>
      </c>
      <c r="D4" s="30" t="s">
        <v>963</v>
      </c>
    </row>
    <row r="5" spans="1:4" ht="15.75" thickBot="1" x14ac:dyDescent="0.3">
      <c r="A5" s="54" t="s">
        <v>1004</v>
      </c>
      <c r="B5" s="55">
        <v>120.5</v>
      </c>
      <c r="C5" s="57">
        <v>0</v>
      </c>
      <c r="D5" s="56">
        <v>0</v>
      </c>
    </row>
    <row r="6" spans="1:4" ht="15.75" thickBot="1" x14ac:dyDescent="0.3">
      <c r="A6" s="69" t="s">
        <v>1030</v>
      </c>
      <c r="B6" s="71">
        <v>12.75</v>
      </c>
      <c r="C6" s="70">
        <v>0</v>
      </c>
      <c r="D6" s="68">
        <v>0</v>
      </c>
    </row>
    <row r="7" spans="1:4" ht="15.75" thickBot="1" x14ac:dyDescent="0.3">
      <c r="A7" s="47" t="s">
        <v>1000</v>
      </c>
      <c r="B7" s="51">
        <v>28.25</v>
      </c>
      <c r="C7" s="49">
        <v>0</v>
      </c>
      <c r="D7" s="46">
        <v>0</v>
      </c>
    </row>
    <row r="8" spans="1:4" ht="15.75" thickBot="1" x14ac:dyDescent="0.3">
      <c r="A8" s="72" t="s">
        <v>1</v>
      </c>
      <c r="B8" s="75">
        <v>36.25</v>
      </c>
      <c r="C8" s="74">
        <v>0</v>
      </c>
      <c r="D8" s="73">
        <v>0</v>
      </c>
    </row>
    <row r="9" spans="1:4" ht="15.75" thickBot="1" x14ac:dyDescent="0.3">
      <c r="A9" s="64" t="s">
        <v>1029</v>
      </c>
      <c r="B9" s="67">
        <v>20.5</v>
      </c>
      <c r="C9" s="66">
        <v>0</v>
      </c>
      <c r="D9" s="65">
        <v>0</v>
      </c>
    </row>
    <row r="10" spans="1:4" ht="15.75" thickBot="1" x14ac:dyDescent="0.3">
      <c r="A10" s="30" t="s">
        <v>1001</v>
      </c>
      <c r="B10" s="52">
        <v>13.5</v>
      </c>
      <c r="C10" s="50">
        <v>0</v>
      </c>
      <c r="D10" s="48">
        <v>0</v>
      </c>
    </row>
    <row r="11" spans="1:4" x14ac:dyDescent="0.25">
      <c r="A11" s="39" t="s">
        <v>968</v>
      </c>
      <c r="B11" s="40">
        <v>640.75</v>
      </c>
      <c r="C11" s="58">
        <v>0</v>
      </c>
      <c r="D11" s="41">
        <v>0</v>
      </c>
    </row>
    <row r="12" spans="1:4" ht="15.75" thickBot="1" x14ac:dyDescent="0.3">
      <c r="A12" s="39" t="s">
        <v>1026</v>
      </c>
      <c r="B12" s="40">
        <v>272.59440000000001</v>
      </c>
      <c r="C12" s="61">
        <v>272.59440000000001</v>
      </c>
      <c r="D12" s="41">
        <v>16881.771192000011</v>
      </c>
    </row>
    <row r="13" spans="1:4" ht="15.75" thickBot="1" x14ac:dyDescent="0.3">
      <c r="A13" s="39" t="s">
        <v>1027</v>
      </c>
      <c r="B13" s="40">
        <v>155.75</v>
      </c>
      <c r="C13" s="61">
        <v>155.75</v>
      </c>
      <c r="D13" s="41">
        <v>9645.5975000000053</v>
      </c>
    </row>
    <row r="14" spans="1:4" ht="15.75" thickBot="1" x14ac:dyDescent="0.3">
      <c r="A14" s="32" t="s">
        <v>947</v>
      </c>
      <c r="B14" s="34">
        <v>1300.8444</v>
      </c>
      <c r="C14" s="34">
        <v>428.34440000000001</v>
      </c>
      <c r="D14" s="33">
        <v>26527.368692000018</v>
      </c>
    </row>
    <row r="18" ht="15.75" thickBot="1" x14ac:dyDescent="0.3"/>
    <row r="19" ht="15.75" thickBot="1" x14ac:dyDescent="0.3"/>
    <row r="21" ht="15.75" thickBot="1" x14ac:dyDescent="0.3"/>
    <row r="22" ht="15.75" thickBot="1" x14ac:dyDescent="0.3"/>
    <row r="24" ht="15.75" thickBot="1" x14ac:dyDescent="0.3"/>
    <row r="25" ht="15.75" thickBot="1" x14ac:dyDescent="0.3"/>
    <row r="27" ht="15.75" thickBot="1" x14ac:dyDescent="0.3"/>
    <row r="28" ht="15.75" thickBot="1" x14ac:dyDescent="0.3"/>
    <row r="30" ht="15.75" thickBot="1" x14ac:dyDescent="0.3"/>
    <row r="31" ht="15.75" thickBot="1" x14ac:dyDescent="0.3"/>
    <row r="32" ht="15.75" thickBot="1" x14ac:dyDescent="0.3"/>
    <row r="33" ht="15.75" thickBot="1" x14ac:dyDescent="0.3"/>
    <row r="34" ht="15.75" thickBot="1" x14ac:dyDescent="0.3"/>
    <row r="35" ht="15.75" thickBot="1" x14ac:dyDescent="0.3"/>
    <row r="36" ht="15.75" thickBot="1" x14ac:dyDescent="0.3"/>
    <row r="37" ht="15.75" thickBot="1" x14ac:dyDescent="0.3"/>
    <row r="38" ht="15.75" thickBot="1" x14ac:dyDescent="0.3"/>
    <row r="39" ht="15.75" thickBot="1" x14ac:dyDescent="0.3"/>
    <row r="40" ht="15.75" thickBot="1" x14ac:dyDescent="0.3"/>
    <row r="41" ht="15.75" thickBot="1" x14ac:dyDescent="0.3"/>
    <row r="42" ht="15.75" thickBot="1" x14ac:dyDescent="0.3"/>
    <row r="43" ht="15.75" thickBot="1" x14ac:dyDescent="0.3"/>
    <row r="44" ht="15.75" thickBot="1" x14ac:dyDescent="0.3"/>
    <row r="45" ht="15.75" thickBot="1" x14ac:dyDescent="0.3"/>
    <row r="46" ht="15.75" thickBot="1" x14ac:dyDescent="0.3"/>
    <row r="47" ht="15.75" thickBot="1" x14ac:dyDescent="0.3"/>
    <row r="48" ht="15.75" thickBot="1" x14ac:dyDescent="0.3"/>
    <row r="49" ht="15.75" thickBot="1" x14ac:dyDescent="0.3"/>
    <row r="50" ht="15.75" thickBot="1" x14ac:dyDescent="0.3"/>
    <row r="51" ht="15.75" thickBot="1" x14ac:dyDescent="0.3"/>
    <row r="52" ht="15.75" thickBot="1" x14ac:dyDescent="0.3"/>
    <row r="53" ht="15.75" thickBot="1" x14ac:dyDescent="0.3"/>
    <row r="54" ht="15.75" thickBot="1" x14ac:dyDescent="0.3"/>
    <row r="55" ht="15.75" thickBot="1" x14ac:dyDescent="0.3"/>
    <row r="56" ht="15.75" thickBot="1" x14ac:dyDescent="0.3"/>
    <row r="57" ht="15.75" thickBot="1" x14ac:dyDescent="0.3"/>
    <row r="58" ht="15.75" thickBot="1" x14ac:dyDescent="0.3"/>
    <row r="59" ht="15.75" thickBot="1" x14ac:dyDescent="0.3"/>
    <row r="60" ht="15.75" thickBot="1" x14ac:dyDescent="0.3"/>
    <row r="61" ht="15.75" thickBot="1" x14ac:dyDescent="0.3"/>
    <row r="62" ht="15.75" thickBot="1" x14ac:dyDescent="0.3"/>
    <row r="63" ht="15.75" thickBot="1" x14ac:dyDescent="0.3"/>
    <row r="64" ht="15.75" thickBot="1" x14ac:dyDescent="0.3"/>
    <row r="65" ht="15.75" thickBot="1" x14ac:dyDescent="0.3"/>
    <row r="66" ht="15.75" thickBot="1" x14ac:dyDescent="0.3"/>
    <row r="67" ht="15.75" thickBot="1" x14ac:dyDescent="0.3"/>
    <row r="68" ht="15.75" thickBot="1" x14ac:dyDescent="0.3"/>
    <row r="69" ht="15.75" thickBot="1" x14ac:dyDescent="0.3"/>
    <row r="70" ht="15.75" thickBot="1" x14ac:dyDescent="0.3"/>
    <row r="71" ht="15.75" thickBot="1" x14ac:dyDescent="0.3"/>
    <row r="72" ht="15.75" thickBot="1" x14ac:dyDescent="0.3"/>
    <row r="73" ht="15.75" thickBot="1" x14ac:dyDescent="0.3"/>
    <row r="74" ht="15.75" thickBot="1" x14ac:dyDescent="0.3"/>
    <row r="75" ht="15.75" thickBot="1" x14ac:dyDescent="0.3"/>
    <row r="76" ht="15.75" thickBot="1" x14ac:dyDescent="0.3"/>
    <row r="77" ht="15.75" thickBot="1" x14ac:dyDescent="0.3"/>
    <row r="78" ht="15.75" thickBot="1" x14ac:dyDescent="0.3"/>
    <row r="79" ht="15.75" thickBot="1" x14ac:dyDescent="0.3"/>
    <row r="80" ht="15.75" thickBot="1" x14ac:dyDescent="0.3"/>
    <row r="81" ht="15.75" thickBot="1" x14ac:dyDescent="0.3"/>
    <row r="82" ht="15.75" thickBot="1" x14ac:dyDescent="0.3"/>
    <row r="83" ht="15.75" thickBot="1" x14ac:dyDescent="0.3"/>
    <row r="84" ht="15.75" thickBot="1" x14ac:dyDescent="0.3"/>
    <row r="85" ht="15.75" thickBot="1" x14ac:dyDescent="0.3"/>
    <row r="86" ht="15.75" thickBot="1" x14ac:dyDescent="0.3"/>
    <row r="87" ht="15.75" thickBot="1" x14ac:dyDescent="0.3"/>
    <row r="88" ht="15.75" thickBot="1" x14ac:dyDescent="0.3"/>
    <row r="89" ht="15.75" thickBot="1" x14ac:dyDescent="0.3"/>
    <row r="90" ht="15.75" thickBot="1" x14ac:dyDescent="0.3"/>
    <row r="91" ht="15.75" thickBot="1" x14ac:dyDescent="0.3"/>
    <row r="92" ht="15.75" thickBot="1" x14ac:dyDescent="0.3"/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Data</vt:lpstr>
      <vt:lpstr>IPO Total by Month</vt:lpstr>
      <vt:lpstr>Work Orders</vt:lpstr>
      <vt:lpstr>NB Summary</vt:lpstr>
      <vt:lpstr>Avg Hrs per WO</vt:lpstr>
      <vt:lpstr>Avg Hrs Chart</vt:lpstr>
      <vt:lpstr>Summary with FTE%</vt:lpstr>
      <vt:lpstr>Summary wo FTE%</vt:lpstr>
      <vt:lpstr>Summary Chart with FTE%</vt:lpstr>
      <vt:lpstr>Summary Chart wo FTE%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 Shafer</dc:creator>
  <cp:lastModifiedBy>Rick Shafer</cp:lastModifiedBy>
  <cp:lastPrinted>2017-10-13T20:19:01Z</cp:lastPrinted>
  <dcterms:created xsi:type="dcterms:W3CDTF">2013-03-19T23:11:56Z</dcterms:created>
  <dcterms:modified xsi:type="dcterms:W3CDTF">2022-09-17T09:01:43Z</dcterms:modified>
</cp:coreProperties>
</file>